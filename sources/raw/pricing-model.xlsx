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Panel" sheetId="1" state="visible" r:id="rId1"/>
    <sheet name="Strategy" sheetId="2" state="visible" r:id="rId2"/>
    <sheet name="Feature Matrix" sheetId="3" state="visible" r:id="rId3"/>
    <sheet name="Bottom-Up Model" sheetId="4" state="visible" r:id="rId4"/>
    <sheet name="Usage Rate Card" sheetId="5" state="visible" r:id="rId5"/>
    <sheet name="Unit Economics" sheetId="6" state="visible" r:id="rId6"/>
    <sheet name="Scenario Model" sheetId="7" state="visible" r:id="rId7"/>
    <sheet name="Sensitivity" sheetId="8" state="visible" r:id="rId8"/>
    <sheet name="Pricing Tab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$#,##0.00;($#,##0.00);-"/>
    <numFmt numFmtId="166" formatCode="$#,##0;($#,##0);-"/>
    <numFmt numFmtId="167" formatCode="0.0%"/>
    <numFmt numFmtId="168" formatCode="0.00&quot;x&quot;"/>
  </numFmts>
  <fonts count="16">
    <font>
      <name val="Calibri"/>
      <family val="2"/>
      <color theme="1"/>
      <sz val="11"/>
      <scheme val="minor"/>
    </font>
    <font>
      <name val="Arial"/>
      <b val="1"/>
      <color rgb="001F3A54"/>
      <sz val="15"/>
    </font>
    <font>
      <name val="Arial"/>
      <i val="1"/>
      <color rgb="00666666"/>
      <sz val="9"/>
    </font>
    <font>
      <name val="Arial"/>
      <b val="1"/>
      <color rgb="001F3A54"/>
      <sz val="10"/>
    </font>
    <font>
      <name val="Arial"/>
      <b val="1"/>
      <color rgb="000000FF"/>
      <sz val="10"/>
    </font>
    <font>
      <name val="Arial"/>
      <color rgb="00000000"/>
      <sz val="10"/>
    </font>
    <font>
      <name val="Arial"/>
      <b val="1"/>
      <color rgb="001B5E20"/>
      <sz val="10"/>
    </font>
    <font>
      <name val="Arial"/>
      <b val="1"/>
      <color rgb="007F6000"/>
      <sz val="10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888888"/>
      <sz val="10"/>
    </font>
    <font>
      <name val="Arial"/>
      <b val="1"/>
      <color rgb="00B8860B"/>
      <sz val="10"/>
    </font>
    <font>
      <name val="Arial"/>
      <b val="1"/>
      <i val="1"/>
      <sz val="10"/>
    </font>
    <font>
      <name val="Arial"/>
      <b val="1"/>
      <color rgb="001B7A3D"/>
      <sz val="11"/>
    </font>
    <font>
      <name val="Arial"/>
      <i val="1"/>
      <color rgb="00B8860B"/>
      <sz val="9"/>
    </font>
    <font>
      <name val="Arial"/>
      <i val="1"/>
      <color rgb="00B00000"/>
      <sz val="9"/>
    </font>
  </fonts>
  <fills count="14">
    <fill>
      <patternFill/>
    </fill>
    <fill>
      <patternFill patternType="gray125"/>
    </fill>
    <fill>
      <patternFill patternType="solid">
        <fgColor rgb="00D9E2EC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1F3A54"/>
      </patternFill>
    </fill>
    <fill>
      <patternFill patternType="solid">
        <fgColor rgb="00FFF6DD"/>
      </patternFill>
    </fill>
    <fill>
      <patternFill patternType="solid">
        <fgColor rgb="00DCE9F1"/>
      </patternFill>
    </fill>
    <fill>
      <patternFill patternType="solid">
        <fgColor rgb="00EFEFEF"/>
      </patternFill>
    </fill>
    <fill>
      <patternFill patternType="solid">
        <fgColor rgb="00D9F0DC"/>
      </patternFill>
    </fill>
    <fill>
      <patternFill patternType="solid">
        <fgColor rgb="00FCEEC7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7C4D1"/>
      </left>
      <right style="thin">
        <color rgb="00B7C4D1"/>
      </right>
      <top style="thin">
        <color rgb="00B7C4D1"/>
      </top>
      <bottom style="thin">
        <color rgb="00B7C4D1"/>
      </bottom>
    </border>
    <border>
      <left/>
      <right/>
      <top style="thin">
        <color rgb="00B7C4D1"/>
      </top>
      <bottom/>
      <diagonal/>
    </border>
    <border>
      <left/>
      <right style="thin">
        <color rgb="00B7C4D1"/>
      </right>
      <top style="thin">
        <color rgb="00B7C4D1"/>
      </top>
      <bottom/>
      <diagonal/>
    </border>
    <border>
      <left/>
      <right/>
      <top style="thin">
        <color rgb="00B7C4D1"/>
      </top>
      <bottom style="thin">
        <color rgb="00B7C4D1"/>
      </bottom>
      <diagonal/>
    </border>
    <border>
      <left/>
      <right style="thin">
        <color rgb="00B7C4D1"/>
      </right>
      <top style="thin">
        <color rgb="00B7C4D1"/>
      </top>
      <bottom style="thin">
        <color rgb="00B7C4D1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2" fillId="0" borderId="1" pivotButton="0" quotePrefix="0" xfId="0"/>
    <xf numFmtId="0" fontId="8" fillId="7" borderId="1" pivotButton="0" quotePrefix="0" xfId="0"/>
    <xf numFmtId="0" fontId="0" fillId="7" borderId="1" pivotButton="0" quotePrefix="0" xfId="0"/>
    <xf numFmtId="0" fontId="9" fillId="0" borderId="1" pivotButton="0" quotePrefix="0" xfId="0"/>
    <xf numFmtId="164" fontId="4" fillId="3" borderId="1" applyAlignment="1" pivotButton="0" quotePrefix="0" xfId="0">
      <alignment horizontal="center" vertical="center"/>
    </xf>
    <xf numFmtId="0" fontId="2" fillId="6" borderId="1" pivotButton="0" quotePrefix="0" xfId="0"/>
    <xf numFmtId="165" fontId="4" fillId="3" borderId="1" applyAlignment="1" pivotButton="0" quotePrefix="0" xfId="0">
      <alignment horizontal="center" vertical="center"/>
    </xf>
    <xf numFmtId="0" fontId="3" fillId="0" borderId="1" pivotButton="0" quotePrefix="0" xfId="0"/>
    <xf numFmtId="165" fontId="6" fillId="5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/>
    </xf>
    <xf numFmtId="167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0" fontId="3" fillId="8" borderId="1" pivotButton="0" quotePrefix="0" xfId="0"/>
    <xf numFmtId="167" fontId="5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8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8" fillId="7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vertical="top" wrapText="1"/>
    </xf>
    <xf numFmtId="0" fontId="9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vertical="top" wrapText="1"/>
    </xf>
    <xf numFmtId="0" fontId="9" fillId="11" borderId="1" applyAlignment="1" pivotButton="0" quotePrefix="0" xfId="0">
      <alignment horizontal="center" vertical="center"/>
    </xf>
    <xf numFmtId="0" fontId="9" fillId="11" borderId="1" applyAlignment="1" pivotButton="0" quotePrefix="0" xfId="0">
      <alignment vertical="top" wrapText="1"/>
    </xf>
    <xf numFmtId="0" fontId="9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vertical="top" wrapText="1"/>
    </xf>
    <xf numFmtId="0" fontId="9" fillId="2" borderId="1" pivotButton="0" quotePrefix="0" xfId="0"/>
    <xf numFmtId="3" fontId="6" fillId="5" borderId="1" applyAlignment="1" pivotButton="0" quotePrefix="0" xfId="0">
      <alignment horizontal="center" vertical="center"/>
    </xf>
    <xf numFmtId="168" fontId="6" fillId="5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6" fontId="6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3" fontId="5" fillId="0" borderId="1" applyAlignment="1" pivotButton="0" quotePrefix="0" xfId="0">
      <alignment horizontal="center" vertical="center"/>
    </xf>
    <xf numFmtId="3" fontId="6" fillId="8" borderId="1" applyAlignment="1" pivotButton="0" quotePrefix="0" xfId="0">
      <alignment horizontal="center" vertical="center"/>
    </xf>
    <xf numFmtId="165" fontId="6" fillId="8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3" fontId="9" fillId="0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2" fontId="5" fillId="13" borderId="1" applyAlignment="1" pivotButton="0" quotePrefix="0" xfId="0">
      <alignment horizontal="center" vertical="center"/>
    </xf>
    <xf numFmtId="3" fontId="6" fillId="2" borderId="1" applyAlignment="1" pivotButton="0" quotePrefix="0" xfId="0">
      <alignment horizontal="center" vertical="center"/>
    </xf>
    <xf numFmtId="166" fontId="6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11" fillId="8" borderId="1" applyAlignment="1" pivotButton="0" quotePrefix="0" xfId="0">
      <alignment vertical="top" wrapText="1"/>
    </xf>
    <xf numFmtId="166" fontId="9" fillId="0" borderId="1" applyAlignment="1" pivotButton="0" quotePrefix="0" xfId="0">
      <alignment horizontal="center" vertical="center"/>
    </xf>
    <xf numFmtId="166" fontId="9" fillId="8" borderId="1" applyAlignment="1" pivotButton="0" quotePrefix="0" xfId="0">
      <alignment horizontal="center" vertical="center"/>
    </xf>
    <xf numFmtId="3" fontId="9" fillId="8" borderId="1" applyAlignment="1" pivotButton="0" quotePrefix="0" xfId="0">
      <alignment horizontal="center" vertical="center"/>
    </xf>
    <xf numFmtId="0" fontId="1" fillId="0" borderId="1" pivotButton="0" quotePrefix="0" xfId="0"/>
    <xf numFmtId="0" fontId="12" fillId="10" borderId="1" pivotButton="0" quotePrefix="0" xfId="0"/>
    <xf numFmtId="0" fontId="9" fillId="10" borderId="1" pivotButton="0" quotePrefix="0" xfId="0"/>
    <xf numFmtId="0" fontId="13" fillId="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9" fillId="8" borderId="1" pivotButton="0" quotePrefix="0" xfId="0"/>
    <xf numFmtId="0" fontId="15" fillId="0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fgColor rgb="00F8CBAD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6" max="6"/>
  </cols>
  <sheetData>
    <row r="1">
      <c r="A1" s="1" t="inlineStr">
        <is>
          <t>Health Plan Chat - Pricing Control Panel</t>
        </is>
      </c>
    </row>
    <row r="2">
      <c r="A2" s="2" t="inlineStr">
        <is>
          <t>Every blue cell is editable. Everything else recalculates from them, on every tab. Change a price and watch section G and the Scenario and Sensitivity tabs move.</t>
        </is>
      </c>
    </row>
    <row r="4">
      <c r="A4" s="3" t="inlineStr">
        <is>
          <t>LEGEND</t>
        </is>
      </c>
      <c r="B4" s="4" t="inlineStr">
        <is>
          <t>Edit me</t>
        </is>
      </c>
      <c r="C4" s="5" t="inlineStr">
        <is>
          <t>Formula</t>
        </is>
      </c>
      <c r="D4" s="6" t="inlineStr">
        <is>
          <t>Key output</t>
        </is>
      </c>
      <c r="E4" s="7" t="inlineStr">
        <is>
          <t>Assumption</t>
        </is>
      </c>
      <c r="F4" s="8" t="inlineStr">
        <is>
          <t>Red = gross margin under the floor in B52. Green = at or above it.</t>
        </is>
      </c>
    </row>
    <row r="6">
      <c r="A6" s="9" t="inlineStr">
        <is>
          <t>A.  COST TO SERVE</t>
        </is>
      </c>
      <c r="B6" s="10" t="n"/>
      <c r="C6" s="10" t="n"/>
      <c r="D6" s="10" t="n"/>
      <c r="E6" s="10" t="n"/>
      <c r="F6" s="10" t="n"/>
    </row>
    <row r="7">
      <c r="A7" s="11" t="inlineStr">
        <is>
          <t>Average minutes per conversation</t>
        </is>
      </c>
      <c r="B7" s="12" t="n">
        <v>3.5</v>
      </c>
      <c r="F7" s="13" t="inlineStr">
        <is>
          <t>Assumption. Voice calls and chat sessions blended.</t>
        </is>
      </c>
    </row>
    <row r="8">
      <c r="A8" s="11" t="inlineStr">
        <is>
          <t>Blended cost per minute</t>
        </is>
      </c>
      <c r="B8" s="14" t="n">
        <v>0.14</v>
      </c>
      <c r="F8" s="13" t="inlineStr">
        <is>
          <t>Assumption. LLM + STT/TTS + telephony all-in. Synthflow retails $0.11-0.24/min.</t>
        </is>
      </c>
    </row>
    <row r="9">
      <c r="A9" s="11" t="inlineStr">
        <is>
          <t>Marginal recording, storage and data per conversation</t>
        </is>
      </c>
      <c r="B9" s="14" t="n">
        <v>0.05</v>
      </c>
      <c r="F9" s="13" t="inlineStr">
        <is>
          <t>Assumption. Includes the CMS 10-year call retention obligation.</t>
        </is>
      </c>
    </row>
    <row r="10">
      <c r="A10" s="15" t="inlineStr">
        <is>
          <t>COST PER CONVERSATION</t>
        </is>
      </c>
      <c r="B10" s="16">
        <f>B7*B8+B9</f>
        <v/>
      </c>
      <c r="F10" s="8" t="inlineStr">
        <is>
          <t>The most load-bearing number in this model.</t>
        </is>
      </c>
    </row>
    <row r="11">
      <c r="A11" s="11" t="inlineStr">
        <is>
          <t>Fixed cost per account per month</t>
        </is>
      </c>
      <c r="B11" s="17" t="n">
        <v>43</v>
      </c>
      <c r="F11" s="13" t="inlineStr">
        <is>
          <t>Support, third-party and allocated overhead. Does not scale with usage.</t>
        </is>
      </c>
    </row>
    <row r="12">
      <c r="A12" s="11" t="inlineStr">
        <is>
          <t>Target gross margin</t>
        </is>
      </c>
      <c r="B12" s="18" t="n">
        <v>0.7</v>
      </c>
      <c r="F12" s="76" t="inlineStr">
        <is>
          <t>Voice AI carries real variable COGS (inference and telephony), so it does not reach the generic 80% software benchmark at meaningful volume. 70% is the defensible target here. Raise it to 80% and the model will tell you the allowance has to fall to about 105 conversations.</t>
        </is>
      </c>
    </row>
    <row r="13">
      <c r="A13" s="11" t="inlineStr">
        <is>
          <t>Reference conversations per month (for the floor)</t>
        </is>
      </c>
      <c r="B13" s="19" t="n">
        <v>180</v>
      </c>
      <c r="F13" s="76" t="inlineStr">
        <is>
          <t>Expected usage for a typical agency, NOT the 220 allowance. The allowance is a ceiling, not a forecast, so pricing the floor at the cap would over-price the product. Worst case at full allowance is shown on the Bottom-Up Model tab.</t>
        </is>
      </c>
    </row>
    <row r="14">
      <c r="A14" s="11" t="inlineStr">
        <is>
          <t>Cost to serve at reference volume</t>
        </is>
      </c>
      <c r="B14" s="20">
        <f>B11+B13*B10</f>
        <v/>
      </c>
    </row>
    <row r="15">
      <c r="A15" s="15" t="inlineStr">
        <is>
          <t>FLOOR PRICE at target margin</t>
        </is>
      </c>
      <c r="B15" s="21">
        <f>B14/(1-B12)</f>
        <v/>
      </c>
      <c r="F15" s="8" t="inlineStr">
        <is>
          <t>The Hero price must clear this.</t>
        </is>
      </c>
    </row>
    <row r="17">
      <c r="A17" s="9" t="inlineStr">
        <is>
          <t>B.  MARKET BAND  (normalised to per agency per month)</t>
        </is>
      </c>
      <c r="B17" s="10" t="n"/>
      <c r="C17" s="10" t="n"/>
      <c r="D17" s="10" t="n"/>
      <c r="E17" s="10" t="n"/>
      <c r="F17" s="10" t="n"/>
    </row>
    <row r="18">
      <c r="A18" s="11" t="inlineStr">
        <is>
          <t>Synthflow (usage, estimated)</t>
        </is>
      </c>
      <c r="B18" s="17" t="n">
        <v>66</v>
      </c>
      <c r="F18" s="13" t="inlineStr">
        <is>
          <t>Estimated: published $0.11-0.24/min x ~375 min. Not a flat published price.</t>
        </is>
      </c>
    </row>
    <row r="19">
      <c r="A19" s="11" t="inlineStr">
        <is>
          <t>Goodcall Scale tier</t>
        </is>
      </c>
      <c r="B19" s="17" t="n">
        <v>249</v>
      </c>
      <c r="F19" s="13" t="inlineStr">
        <is>
          <t>Source: Goodcall published pricing.</t>
        </is>
      </c>
    </row>
    <row r="20">
      <c r="A20" s="11" t="inlineStr">
        <is>
          <t>Smith.ai Basic (90 calls)</t>
        </is>
      </c>
      <c r="B20" s="17" t="n">
        <v>600</v>
      </c>
      <c r="F20" s="13" t="inlineStr">
        <is>
          <t>Source: Smith.ai published pricing.</t>
        </is>
      </c>
    </row>
    <row r="21">
      <c r="A21" s="11" t="inlineStr">
        <is>
          <t>careCycle (Medicare-native)</t>
        </is>
      </c>
      <c r="B21" s="17" t="n">
        <v>10000</v>
      </c>
      <c r="F21" s="13" t="inlineStr">
        <is>
          <t>Source: OPEN-FINDINGS OF-1, ~$10,000/mo for a 5-10 agent operation.</t>
        </is>
      </c>
    </row>
    <row r="22">
      <c r="A22" s="11" t="inlineStr">
        <is>
          <t>Market low</t>
        </is>
      </c>
      <c r="B22" s="20">
        <f>MIN(B18:B21)</f>
        <v/>
      </c>
    </row>
    <row r="23">
      <c r="A23" s="11" t="inlineStr">
        <is>
          <t>Market median</t>
        </is>
      </c>
      <c r="B23" s="20">
        <f>MEDIAN(B18:B21)</f>
        <v/>
      </c>
    </row>
    <row r="24">
      <c r="A24" s="11" t="inlineStr">
        <is>
          <t>Market high</t>
        </is>
      </c>
      <c r="B24" s="20">
        <f>MAX(B18:B21)</f>
        <v/>
      </c>
      <c r="F24" s="8" t="inlineStr">
        <is>
          <t>careCycle is an enterprise anomaly, not a target. It is the ceiling this segment is priced out of.</t>
        </is>
      </c>
    </row>
    <row r="26">
      <c r="A26" s="9" t="inlineStr">
        <is>
          <t>C.  VALUE CEILING</t>
        </is>
      </c>
      <c r="B26" s="10" t="n"/>
      <c r="C26" s="10" t="n"/>
      <c r="D26" s="10" t="n"/>
      <c r="E26" s="10" t="n"/>
      <c r="F26" s="10" t="n"/>
    </row>
    <row r="27">
      <c r="A27" s="11" t="inlineStr">
        <is>
          <t>Incremental enrollments per month - conservative</t>
        </is>
      </c>
      <c r="B27" s="19" t="n">
        <v>1</v>
      </c>
    </row>
    <row r="28">
      <c r="A28" s="11" t="inlineStr">
        <is>
          <t>Incremental enrollments per month - base</t>
        </is>
      </c>
      <c r="B28" s="19" t="n">
        <v>2</v>
      </c>
    </row>
    <row r="29">
      <c r="A29" s="11" t="inlineStr">
        <is>
          <t>Incremental enrollments per month - optimistic</t>
        </is>
      </c>
      <c r="B29" s="19" t="n">
        <v>4</v>
      </c>
      <c r="F29" s="13" t="inlineStr">
        <is>
          <t>Unconfirmed. Fair Square reported 4x after-hours conversion with AI voice.</t>
        </is>
      </c>
    </row>
    <row r="30">
      <c r="A30" s="11" t="inlineStr">
        <is>
          <t>CMS initial commission per enrollment (2026, national)</t>
        </is>
      </c>
      <c r="B30" s="17" t="n">
        <v>694</v>
      </c>
      <c r="F30" s="8" t="inlineStr">
        <is>
          <t>Source: 2026 CMS Medicare Advantage commission release.</t>
        </is>
      </c>
    </row>
    <row r="31">
      <c r="A31" s="11" t="inlineStr">
        <is>
          <t>Capture fraction</t>
        </is>
      </c>
      <c r="B31" s="18" t="n">
        <v>0.15</v>
      </c>
      <c r="F31" s="8" t="inlineStr">
        <is>
          <t>Methodology range 10-30%. 15% leaves most of the surplus with the customer.</t>
        </is>
      </c>
    </row>
    <row r="32">
      <c r="A32" s="11" t="inlineStr">
        <is>
          <t>Annual value created (base case)</t>
        </is>
      </c>
      <c r="B32" s="20">
        <f>B28*B30*12</f>
        <v/>
      </c>
    </row>
    <row r="33">
      <c r="A33" s="15" t="inlineStr">
        <is>
          <t>VALUE CEILING per month (base case)</t>
        </is>
      </c>
      <c r="B33" s="21">
        <f>B32*B31/12</f>
        <v/>
      </c>
      <c r="F33" s="8" t="inlineStr">
        <is>
          <t>Year-one commissions only. Ignores renewals, so this is deliberately conservative.</t>
        </is>
      </c>
    </row>
    <row r="35">
      <c r="A35" s="9" t="inlineStr">
        <is>
          <t>D.  TIER PRICING  (platform fee plus included usage)</t>
        </is>
      </c>
      <c r="B35" s="10" t="n"/>
      <c r="C35" s="10" t="n"/>
      <c r="D35" s="10" t="n"/>
      <c r="E35" s="10" t="n"/>
      <c r="F35" s="10" t="n"/>
    </row>
    <row r="36">
      <c r="A36" s="22" t="inlineStr">
        <is>
          <t>Tier</t>
        </is>
      </c>
      <c r="B36" s="22" t="inlineStr">
        <is>
          <t>Platform fee / mo</t>
        </is>
      </c>
      <c r="C36" s="22" t="inlineStr">
        <is>
          <t>Included conversations</t>
        </is>
      </c>
      <c r="D36" s="22" t="inlineStr">
        <is>
          <t>Effective $/conv</t>
        </is>
      </c>
      <c r="E36" s="22" t="inlineStr">
        <is>
          <t>Cost at full allowance</t>
        </is>
      </c>
      <c r="F36" s="22" t="inlineStr">
        <is>
          <t>Margin at full allowance</t>
        </is>
      </c>
    </row>
    <row r="37">
      <c r="A37" s="11" t="inlineStr">
        <is>
          <t>Front Desk</t>
        </is>
      </c>
      <c r="B37" s="17" t="n">
        <v>199</v>
      </c>
      <c r="C37" s="19" t="n">
        <v>65</v>
      </c>
      <c r="D37" s="23">
        <f>B37/C37</f>
        <v/>
      </c>
      <c r="E37" s="20">
        <f>$B$11+C37*$B$10</f>
        <v/>
      </c>
      <c r="F37" s="24">
        <f>(B37-E37)/B37</f>
        <v/>
      </c>
    </row>
    <row r="38">
      <c r="A38" s="25" t="inlineStr">
        <is>
          <t>Plan Fluent</t>
        </is>
      </c>
      <c r="B38" s="17" t="n">
        <v>499</v>
      </c>
      <c r="C38" s="19" t="n">
        <v>220</v>
      </c>
      <c r="D38" s="23">
        <f>B38/C38</f>
        <v/>
      </c>
      <c r="E38" s="20">
        <f>$B$11+C38*$B$10</f>
        <v/>
      </c>
      <c r="F38" s="24">
        <f>(B38-E38)/B38</f>
        <v/>
      </c>
    </row>
    <row r="39">
      <c r="A39" s="11" t="inlineStr">
        <is>
          <t>Downline</t>
        </is>
      </c>
      <c r="B39" s="17" t="n">
        <v>1499</v>
      </c>
      <c r="C39" s="19" t="n">
        <v>750</v>
      </c>
      <c r="D39" s="23">
        <f>B39/C39</f>
        <v/>
      </c>
      <c r="E39" s="20">
        <f>$B$11+C39*$B$10</f>
        <v/>
      </c>
      <c r="F39" s="24">
        <f>(B39-E39)/B39</f>
        <v/>
      </c>
    </row>
    <row r="41">
      <c r="A41" s="9" t="inlineStr">
        <is>
          <t>E.  USAGE OVERAGE BANDS  (rate declines as volume grows)</t>
        </is>
      </c>
      <c r="B41" s="10" t="n"/>
      <c r="C41" s="10" t="n"/>
      <c r="D41" s="10" t="n"/>
      <c r="E41" s="10" t="n"/>
      <c r="F41" s="10" t="n"/>
    </row>
    <row r="42">
      <c r="A42" s="22" t="inlineStr">
        <is>
          <t>Band</t>
        </is>
      </c>
      <c r="B42" s="22" t="inlineStr">
        <is>
          <t>Applies up to (cumulative over allowance)</t>
        </is>
      </c>
      <c r="C42" s="22" t="inlineStr">
        <is>
          <t>Rate per conversation</t>
        </is>
      </c>
      <c r="D42" s="22" t="inlineStr">
        <is>
          <t>Margin at this rate</t>
        </is>
      </c>
      <c r="E42" s="22" t="inlineStr"/>
      <c r="F42" s="22" t="inlineStr"/>
    </row>
    <row r="43">
      <c r="A43" s="11" t="inlineStr">
        <is>
          <t>Band 1  first 250 over</t>
        </is>
      </c>
      <c r="B43" s="19" t="n">
        <v>250</v>
      </c>
      <c r="C43" s="14" t="n">
        <v>1.45</v>
      </c>
      <c r="D43" s="26">
        <f>(C43-$B$10)/C43</f>
        <v/>
      </c>
    </row>
    <row r="44">
      <c r="A44" s="11" t="inlineStr">
        <is>
          <t>Band 2  next 750</t>
        </is>
      </c>
      <c r="B44" s="19" t="n">
        <v>1000</v>
      </c>
      <c r="C44" s="14" t="n">
        <v>1.15</v>
      </c>
      <c r="D44" s="26">
        <f>(C44-$B$10)/C44</f>
        <v/>
      </c>
    </row>
    <row r="45">
      <c r="A45" s="11" t="inlineStr">
        <is>
          <t>Band 3  next 2,000</t>
        </is>
      </c>
      <c r="B45" s="19" t="n">
        <v>3000</v>
      </c>
      <c r="C45" s="14" t="n">
        <v>0.95</v>
      </c>
      <c r="D45" s="26">
        <f>(C45-$B$10)/C45</f>
        <v/>
      </c>
    </row>
    <row r="46">
      <c r="A46" s="11" t="inlineStr">
        <is>
          <t>Band 4  beyond</t>
        </is>
      </c>
      <c r="B46" s="27" t="inlineStr">
        <is>
          <t>no limit</t>
        </is>
      </c>
      <c r="C46" s="14" t="n">
        <v>0.8</v>
      </c>
      <c r="D46" s="26">
        <f>(C46-$B$10)/C46</f>
        <v/>
      </c>
    </row>
    <row r="47">
      <c r="A47" s="8" t="inlineStr">
        <is>
          <t>Rates must fall down the bands, and Band 4 must stay above cost per conversation or heavy use loses money.</t>
        </is>
      </c>
    </row>
    <row r="48">
      <c r="A48" s="9" t="inlineStr">
        <is>
          <t>F.  GUARDRAILS AND BILLING</t>
        </is>
      </c>
      <c r="B48" s="10" t="n"/>
      <c r="C48" s="10" t="n"/>
      <c r="D48" s="10" t="n"/>
      <c r="E48" s="10" t="n"/>
      <c r="F48" s="10" t="n"/>
    </row>
    <row r="49">
      <c r="A49" s="11" t="inlineStr">
        <is>
          <t>Surge cap: maximum overage per month, as a multiple of platform fee</t>
        </is>
      </c>
      <c r="B49" s="28" t="n">
        <v>1.5</v>
      </c>
      <c r="F49" s="8" t="inlineStr">
        <is>
          <t>The answer to Smith.ai's billing-surprise complaints. Raise it to let revenue run; lower it to make bills safer.</t>
        </is>
      </c>
    </row>
    <row r="50">
      <c r="A50" s="11" t="inlineStr">
        <is>
          <t>Annual billing discount on platform fee</t>
        </is>
      </c>
      <c r="B50" s="18" t="n">
        <v>0.15</v>
      </c>
    </row>
    <row r="51">
      <c r="A51" s="11" t="inlineStr">
        <is>
          <t>Prepaid commit discount on overage rates</t>
        </is>
      </c>
      <c r="B51" s="18" t="n">
        <v>0.1</v>
      </c>
    </row>
    <row r="52">
      <c r="A52" s="11" t="inlineStr">
        <is>
          <t>Gross margin floor (cells turn red below this)</t>
        </is>
      </c>
      <c r="B52" s="18" t="n">
        <v>0.55</v>
      </c>
    </row>
    <row r="54">
      <c r="A54" s="9" t="inlineStr">
        <is>
          <t>G.  LIVE READOUT  -  gross margin at four utilisation levels</t>
        </is>
      </c>
      <c r="B54" s="10" t="n"/>
      <c r="C54" s="10" t="n"/>
      <c r="D54" s="10" t="n"/>
      <c r="E54" s="10" t="n"/>
      <c r="F54" s="10" t="n"/>
    </row>
    <row r="55">
      <c r="A55" s="22" t="inlineStr">
        <is>
          <t>Tier</t>
        </is>
      </c>
      <c r="B55" s="22" t="inlineStr">
        <is>
          <t>at 50% of allowance</t>
        </is>
      </c>
      <c r="C55" s="22" t="inlineStr">
        <is>
          <t>at 100%</t>
        </is>
      </c>
      <c r="D55" s="22" t="inlineStr">
        <is>
          <t>at 200%</t>
        </is>
      </c>
      <c r="E55" s="22" t="inlineStr">
        <is>
          <t>at 300%</t>
        </is>
      </c>
      <c r="F55" s="22" t="inlineStr">
        <is>
          <t>What to watch</t>
        </is>
      </c>
    </row>
    <row r="56">
      <c r="A56" s="11" t="inlineStr">
        <is>
          <t>Front Desk</t>
        </is>
      </c>
      <c r="B56" s="26">
        <f>(($B$37+MIN((MIN(MAX(0,($C$37*0.5)-$C$37),$B$43)*$C$43+MIN(MAX(MAX(0,($C$37*0.5)-$C$37)-$B$43,0),$B$44-$B$43)*$C$44+MIN(MAX(MAX(0,($C$37*0.5)-$C$37)-$B$44,0),$B$45-$B$44)*$C$45+MAX(MAX(0,($C$37*0.5)-$C$37)-$B$45,0)*$C$46),$B$37*$B$49))-($B$11+($C$37*0.5)*$B$10))/($B$37+MIN((MIN(MAX(0,($C$37*0.5)-$C$37),$B$43)*$C$43+MIN(MAX(MAX(0,($C$37*0.5)-$C$37)-$B$43,0),$B$44-$B$43)*$C$44+MIN(MAX(MAX(0,($C$37*0.5)-$C$37)-$B$44,0),$B$45-$B$44)*$C$45+MAX(MAX(0,($C$37*0.5)-$C$37)-$B$45,0)*$C$46),$B$37*$B$49))</f>
        <v/>
      </c>
      <c r="C56" s="26">
        <f>(($B$37+MIN((MIN(MAX(0,($C$37*1.0)-$C$37),$B$43)*$C$43+MIN(MAX(MAX(0,($C$37*1.0)-$C$37)-$B$43,0),$B$44-$B$43)*$C$44+MIN(MAX(MAX(0,($C$37*1.0)-$C$37)-$B$44,0),$B$45-$B$44)*$C$45+MAX(MAX(0,($C$37*1.0)-$C$37)-$B$45,0)*$C$46),$B$37*$B$49))-($B$11+($C$37*1.0)*$B$10))/($B$37+MIN((MIN(MAX(0,($C$37*1.0)-$C$37),$B$43)*$C$43+MIN(MAX(MAX(0,($C$37*1.0)-$C$37)-$B$43,0),$B$44-$B$43)*$C$44+MIN(MAX(MAX(0,($C$37*1.0)-$C$37)-$B$44,0),$B$45-$B$44)*$C$45+MAX(MAX(0,($C$37*1.0)-$C$37)-$B$45,0)*$C$46),$B$37*$B$49))</f>
        <v/>
      </c>
      <c r="D56" s="26">
        <f>(($B$37+MIN((MIN(MAX(0,($C$37*2.0)-$C$37),$B$43)*$C$43+MIN(MAX(MAX(0,($C$37*2.0)-$C$37)-$B$43,0),$B$44-$B$43)*$C$44+MIN(MAX(MAX(0,($C$37*2.0)-$C$37)-$B$44,0),$B$45-$B$44)*$C$45+MAX(MAX(0,($C$37*2.0)-$C$37)-$B$45,0)*$C$46),$B$37*$B$49))-($B$11+($C$37*2.0)*$B$10))/($B$37+MIN((MIN(MAX(0,($C$37*2.0)-$C$37),$B$43)*$C$43+MIN(MAX(MAX(0,($C$37*2.0)-$C$37)-$B$43,0),$B$44-$B$43)*$C$44+MIN(MAX(MAX(0,($C$37*2.0)-$C$37)-$B$44,0),$B$45-$B$44)*$C$45+MAX(MAX(0,($C$37*2.0)-$C$37)-$B$45,0)*$C$46),$B$37*$B$49))</f>
        <v/>
      </c>
      <c r="E56" s="26">
        <f>(($B$37+MIN((MIN(MAX(0,($C$37*3.0)-$C$37),$B$43)*$C$43+MIN(MAX(MAX(0,($C$37*3.0)-$C$37)-$B$43,0),$B$44-$B$43)*$C$44+MIN(MAX(MAX(0,($C$37*3.0)-$C$37)-$B$44,0),$B$45-$B$44)*$C$45+MAX(MAX(0,($C$37*3.0)-$C$37)-$B$45,0)*$C$46),$B$37*$B$49))-($B$11+($C$37*3.0)*$B$10))/($B$37+MIN((MIN(MAX(0,($C$37*3.0)-$C$37),$B$43)*$C$43+MIN(MAX(MAX(0,($C$37*3.0)-$C$37)-$B$43,0),$B$44-$B$43)*$C$44+MIN(MAX(MAX(0,($C$37*3.0)-$C$37)-$B$44,0),$B$45-$B$44)*$C$45+MAX(MAX(0,($C$37*3.0)-$C$37)-$B$45,0)*$C$46),$B$37*$B$49))</f>
        <v/>
      </c>
      <c r="F56" s="8" t="inlineStr">
        <is>
          <t>Entry tier. Thin by design; its job is to make Plan Fluent obvious.</t>
        </is>
      </c>
    </row>
    <row r="57">
      <c r="A57" s="25" t="inlineStr">
        <is>
          <t>Plan Fluent</t>
        </is>
      </c>
      <c r="B57" s="26">
        <f>(($B$38+MIN((MIN(MAX(0,($C$38*0.5)-$C$38),$B$43)*$C$43+MIN(MAX(MAX(0,($C$38*0.5)-$C$38)-$B$43,0),$B$44-$B$43)*$C$44+MIN(MAX(MAX(0,($C$38*0.5)-$C$38)-$B$44,0),$B$45-$B$44)*$C$45+MAX(MAX(0,($C$38*0.5)-$C$38)-$B$45,0)*$C$46),$B$38*$B$49))-($B$11+($C$38*0.5)*$B$10))/($B$38+MIN((MIN(MAX(0,($C$38*0.5)-$C$38),$B$43)*$C$43+MIN(MAX(MAX(0,($C$38*0.5)-$C$38)-$B$43,0),$B$44-$B$43)*$C$44+MIN(MAX(MAX(0,($C$38*0.5)-$C$38)-$B$44,0),$B$45-$B$44)*$C$45+MAX(MAX(0,($C$38*0.5)-$C$38)-$B$45,0)*$C$46),$B$38*$B$49))</f>
        <v/>
      </c>
      <c r="C57" s="26">
        <f>(($B$38+MIN((MIN(MAX(0,($C$38*1.0)-$C$38),$B$43)*$C$43+MIN(MAX(MAX(0,($C$38*1.0)-$C$38)-$B$43,0),$B$44-$B$43)*$C$44+MIN(MAX(MAX(0,($C$38*1.0)-$C$38)-$B$44,0),$B$45-$B$44)*$C$45+MAX(MAX(0,($C$38*1.0)-$C$38)-$B$45,0)*$C$46),$B$38*$B$49))-($B$11+($C$38*1.0)*$B$10))/($B$38+MIN((MIN(MAX(0,($C$38*1.0)-$C$38),$B$43)*$C$43+MIN(MAX(MAX(0,($C$38*1.0)-$C$38)-$B$43,0),$B$44-$B$43)*$C$44+MIN(MAX(MAX(0,($C$38*1.0)-$C$38)-$B$44,0),$B$45-$B$44)*$C$45+MAX(MAX(0,($C$38*1.0)-$C$38)-$B$45,0)*$C$46),$B$38*$B$49))</f>
        <v/>
      </c>
      <c r="D57" s="26">
        <f>(($B$38+MIN((MIN(MAX(0,($C$38*2.0)-$C$38),$B$43)*$C$43+MIN(MAX(MAX(0,($C$38*2.0)-$C$38)-$B$43,0),$B$44-$B$43)*$C$44+MIN(MAX(MAX(0,($C$38*2.0)-$C$38)-$B$44,0),$B$45-$B$44)*$C$45+MAX(MAX(0,($C$38*2.0)-$C$38)-$B$45,0)*$C$46),$B$38*$B$49))-($B$11+($C$38*2.0)*$B$10))/($B$38+MIN((MIN(MAX(0,($C$38*2.0)-$C$38),$B$43)*$C$43+MIN(MAX(MAX(0,($C$38*2.0)-$C$38)-$B$43,0),$B$44-$B$43)*$C$44+MIN(MAX(MAX(0,($C$38*2.0)-$C$38)-$B$44,0),$B$45-$B$44)*$C$45+MAX(MAX(0,($C$38*2.0)-$C$38)-$B$45,0)*$C$46),$B$38*$B$49))</f>
        <v/>
      </c>
      <c r="E57" s="26">
        <f>(($B$38+MIN((MIN(MAX(0,($C$38*3.0)-$C$38),$B$43)*$C$43+MIN(MAX(MAX(0,($C$38*3.0)-$C$38)-$B$43,0),$B$44-$B$43)*$C$44+MIN(MAX(MAX(0,($C$38*3.0)-$C$38)-$B$44,0),$B$45-$B$44)*$C$45+MAX(MAX(0,($C$38*3.0)-$C$38)-$B$45,0)*$C$46),$B$38*$B$49))-($B$11+($C$38*3.0)*$B$10))/($B$38+MIN((MIN(MAX(0,($C$38*3.0)-$C$38),$B$43)*$C$43+MIN(MAX(MAX(0,($C$38*3.0)-$C$38)-$B$43,0),$B$44-$B$43)*$C$44+MIN(MAX(MAX(0,($C$38*3.0)-$C$38)-$B$44,0),$B$45-$B$44)*$C$45+MAX(MAX(0,($C$38*3.0)-$C$38)-$B$45,0)*$C$46),$B$38*$B$49))</f>
        <v/>
      </c>
      <c r="F57" s="8" t="inlineStr">
        <is>
          <t>The Hero. Most customers should land here and it should hold margin across the range.</t>
        </is>
      </c>
    </row>
    <row r="58">
      <c r="A58" s="11" t="inlineStr">
        <is>
          <t>Downline</t>
        </is>
      </c>
      <c r="B58" s="26">
        <f>(($B$39+MIN((MIN(MAX(0,($C$39*0.5)-$C$39),$B$43)*$C$43+MIN(MAX(MAX(0,($C$39*0.5)-$C$39)-$B$43,0),$B$44-$B$43)*$C$44+MIN(MAX(MAX(0,($C$39*0.5)-$C$39)-$B$44,0),$B$45-$B$44)*$C$45+MAX(MAX(0,($C$39*0.5)-$C$39)-$B$45,0)*$C$46),$B$39*$B$49))-($B$11+($C$39*0.5)*$B$10))/($B$39+MIN((MIN(MAX(0,($C$39*0.5)-$C$39),$B$43)*$C$43+MIN(MAX(MAX(0,($C$39*0.5)-$C$39)-$B$43,0),$B$44-$B$43)*$C$44+MIN(MAX(MAX(0,($C$39*0.5)-$C$39)-$B$44,0),$B$45-$B$44)*$C$45+MAX(MAX(0,($C$39*0.5)-$C$39)-$B$45,0)*$C$46),$B$39*$B$49))</f>
        <v/>
      </c>
      <c r="C58" s="26">
        <f>(($B$39+MIN((MIN(MAX(0,($C$39*1.0)-$C$39),$B$43)*$C$43+MIN(MAX(MAX(0,($C$39*1.0)-$C$39)-$B$43,0),$B$44-$B$43)*$C$44+MIN(MAX(MAX(0,($C$39*1.0)-$C$39)-$B$44,0),$B$45-$B$44)*$C$45+MAX(MAX(0,($C$39*1.0)-$C$39)-$B$45,0)*$C$46),$B$39*$B$49))-($B$11+($C$39*1.0)*$B$10))/($B$39+MIN((MIN(MAX(0,($C$39*1.0)-$C$39),$B$43)*$C$43+MIN(MAX(MAX(0,($C$39*1.0)-$C$39)-$B$43,0),$B$44-$B$43)*$C$44+MIN(MAX(MAX(0,($C$39*1.0)-$C$39)-$B$44,0),$B$45-$B$44)*$C$45+MAX(MAX(0,($C$39*1.0)-$C$39)-$B$45,0)*$C$46),$B$39*$B$49))</f>
        <v/>
      </c>
      <c r="D58" s="26">
        <f>(($B$39+MIN((MIN(MAX(0,($C$39*2.0)-$C$39),$B$43)*$C$43+MIN(MAX(MAX(0,($C$39*2.0)-$C$39)-$B$43,0),$B$44-$B$43)*$C$44+MIN(MAX(MAX(0,($C$39*2.0)-$C$39)-$B$44,0),$B$45-$B$44)*$C$45+MAX(MAX(0,($C$39*2.0)-$C$39)-$B$45,0)*$C$46),$B$39*$B$49))-($B$11+($C$39*2.0)*$B$10))/($B$39+MIN((MIN(MAX(0,($C$39*2.0)-$C$39),$B$43)*$C$43+MIN(MAX(MAX(0,($C$39*2.0)-$C$39)-$B$43,0),$B$44-$B$43)*$C$44+MIN(MAX(MAX(0,($C$39*2.0)-$C$39)-$B$44,0),$B$45-$B$44)*$C$45+MAX(MAX(0,($C$39*2.0)-$C$39)-$B$45,0)*$C$46),$B$39*$B$49))</f>
        <v/>
      </c>
      <c r="E58" s="26">
        <f>(($B$39+MIN((MIN(MAX(0,($C$39*3.0)-$C$39),$B$43)*$C$43+MIN(MAX(MAX(0,($C$39*3.0)-$C$39)-$B$43,0),$B$44-$B$43)*$C$44+MIN(MAX(MAX(0,($C$39*3.0)-$C$39)-$B$44,0),$B$45-$B$44)*$C$45+MAX(MAX(0,($C$39*3.0)-$C$39)-$B$45,0)*$C$46),$B$39*$B$49))-($B$11+($C$39*3.0)*$B$10))/($B$39+MIN((MIN(MAX(0,($C$39*3.0)-$C$39),$B$43)*$C$43+MIN(MAX(MAX(0,($C$39*3.0)-$C$39)-$B$43,0),$B$44-$B$43)*$C$44+MIN(MAX(MAX(0,($C$39*3.0)-$C$39)-$B$44,0),$B$45-$B$44)*$C$45+MAX(MAX(0,($C$39*3.0)-$C$39)-$B$45,0)*$C$46),$B$39*$B$49))</f>
        <v/>
      </c>
      <c r="F58" s="8" t="inlineStr">
        <is>
          <t>Top tier. If this dips, the included allowance is too generous.</t>
        </is>
      </c>
    </row>
  </sheetData>
  <conditionalFormatting sqref="B56:E58">
    <cfRule type="cellIs" priority="1" operator="lessThan" dxfId="0">
      <formula>$B$52</formula>
    </cfRule>
    <cfRule type="cellIs" priority="2" operator="greaterThanOrEqual" dxfId="1">
      <formula>$B$52</formula>
    </cfRule>
  </conditionalFormatting>
  <conditionalFormatting sqref="F37:F39">
    <cfRule type="cellIs" priority="3" operator="lessThan" dxfId="0">
      <formula>$B$52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12" customWidth="1" min="2" max="2"/>
  </cols>
  <sheetData>
    <row r="1">
      <c r="A1" s="1" t="inlineStr">
        <is>
          <t>Pricing Strategy  (Phases 1-2)</t>
        </is>
      </c>
    </row>
    <row r="2">
      <c r="A2" s="2" t="inlineStr">
        <is>
          <t>Beachhead is ICP-1. ICP-2 (GA / FMO downline) is served through the Downline tier as a sales-led, custom motion.</t>
        </is>
      </c>
    </row>
    <row r="4">
      <c r="A4" s="9" t="inlineStr">
        <is>
          <t>Decision</t>
        </is>
      </c>
      <c r="B4" s="9" t="inlineStr">
        <is>
          <t>Rationale</t>
        </is>
      </c>
    </row>
    <row r="5" ht="78" customHeight="1">
      <c r="A5" s="29" t="inlineStr">
        <is>
          <t>Goal balance</t>
        </is>
      </c>
      <c r="B5" s="30" t="inlineStr">
        <is>
          <t>Balanced, leaning to penetration over near-term yield. careCycle, the only competitor with comparable Medicare depth, prices a 5-10 agent operation at roughly $10,000 a month and so does not compete for this segment at all. Winning the beachhead matters more right now than maximising revenue per account.</t>
        </is>
      </c>
    </row>
    <row r="6" ht="78" customHeight="1">
      <c r="A6" s="29" t="inlineStr">
        <is>
          <t>Stage (the When)</t>
        </is>
      </c>
      <c r="B6" s="30" t="inlineStr">
        <is>
          <t>MVP to early PMF. No paying cohort exists, so this price is a learning instrument, not a yield instrument. Expect to revise once design partner conversion and real usage data arrive.</t>
        </is>
      </c>
    </row>
    <row r="7" ht="78" customHeight="1">
      <c r="A7" s="29" t="inlineStr">
        <is>
          <t>Beachhead (the Who)</t>
        </is>
      </c>
      <c r="B7" s="30" t="inlineStr">
        <is>
          <t>ICP-1: independent Medicare agencies, 3 to 10 licensed agents, $400K to $2.5M in annual commission revenue. Easy to service because the buyer is a single owner-operator with no committee and no procurement, and current share is zero.</t>
        </is>
      </c>
    </row>
    <row r="8" ht="78" customHeight="1">
      <c r="A8" s="29" t="inlineStr">
        <is>
          <t>Sales motion</t>
        </is>
      </c>
      <c r="B8" s="30" t="inlineStr">
        <is>
          <t>Marketing and service led (farming) for Front Desk and Plan Fluent: buyers self-qualify through the Readiness Scorecard and the Benefit Answer Gap Report, then convert on a 72-hour sandbox. Plan document ingestion and CMS obligations need hand-holding, so this is not pure self-serve. Downline is sales led (hunting) and priced Contact sales.</t>
        </is>
      </c>
    </row>
    <row r="9" ht="78" customHeight="1">
      <c r="A9" s="29" t="inlineStr">
        <is>
          <t>Strategic intent</t>
        </is>
      </c>
      <c r="B9" s="30" t="inlineStr">
        <is>
          <t>Differentiate, as a market shaker. The AI voice category is crowded and mature. Health Plan Chat niches into Medicare plan intelligence and follows the category's monthly subscription convention rather than resetting it.</t>
        </is>
      </c>
    </row>
    <row r="10" ht="78" customHeight="1">
      <c r="A10" s="29" t="inlineStr">
        <is>
          <t>Denominator</t>
        </is>
      </c>
      <c r="B10" s="30" t="inlineStr">
        <is>
          <t>Per agency location per month, as a platform fee plus metered conversations. Not per seat: the value, always-on plan-grounded coverage, is shared across the whole office and does not scale with headcount. Not pure per-minute: unpredictable bills are the single loudest complaint against Smith.ai in the competitive research.</t>
        </is>
      </c>
    </row>
    <row r="11" ht="78" customHeight="1">
      <c r="A11" s="29" t="inlineStr">
        <is>
          <t>Pricing basis</t>
        </is>
      </c>
      <c r="B11" s="30" t="inlineStr">
        <is>
          <t>Value based, floored on cost and referenced against the market band. Value based is the only basis that lets price track the plan-intelligence differentiator rather than commodity call-handling cost.</t>
        </is>
      </c>
    </row>
    <row r="12" ht="78" customHeight="1">
      <c r="A12" s="29" t="inlineStr">
        <is>
          <t>Denominator x basis fit</t>
        </is>
      </c>
      <c r="B12" s="30" t="inlineStr">
        <is>
          <t>Pass. A location behaves like a device in the compatibility table and fits cost, market and value bases cleanly. Unlike a user, a location has a genuine, boundable cost to serve, so the floor is real.</t>
        </is>
      </c>
    </row>
    <row r="13" ht="78" customHeight="1">
      <c r="A13" s="29" t="inlineStr">
        <is>
          <t>Usage vehicle</t>
        </is>
      </c>
      <c r="B13" s="30" t="inlineStr">
        <is>
          <t>Hybrid: a flat platform fee with an included conversation allowance, then declining-rate overage bands above it, capped each month by a surge multiple. The flat portion preserves the predictability the positioning promises; the metered portion makes revenue scale with the value delivered; the cap stops an AEP spike producing a frightening invoice.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13" customWidth="1" min="3" max="3"/>
    <col width="18" customWidth="1" min="4" max="4"/>
    <col width="15" customWidth="1" min="5" max="5"/>
    <col width="18" customWidth="1" min="6" max="6"/>
    <col width="14" customWidth="1" min="7" max="7"/>
    <col width="13" customWidth="1" min="8" max="8"/>
  </cols>
  <sheetData>
    <row r="1">
      <c r="A1" s="1" t="inlineStr">
        <is>
          <t>Feature Matrix  (Phase 3)</t>
        </is>
      </c>
    </row>
    <row r="2">
      <c r="A2" s="2" t="inlineStr">
        <is>
          <t>Demand and density carried from gtm/feature-scores.csv. OF-2 correction applied: row 25 density downgraded from 'only we' to 'a few do this'.</t>
        </is>
      </c>
    </row>
    <row r="4">
      <c r="A4" s="31" t="inlineStr">
        <is>
          <t>#</t>
        </is>
      </c>
      <c r="B4" s="31" t="inlineStr">
        <is>
          <t>Capability</t>
        </is>
      </c>
      <c r="C4" s="31" t="inlineStr">
        <is>
          <t>Market demand</t>
        </is>
      </c>
      <c r="D4" s="31" t="inlineStr">
        <is>
          <t>Competitive density</t>
        </is>
      </c>
      <c r="E4" s="31" t="inlineStr">
        <is>
          <t>Zone</t>
        </is>
      </c>
      <c r="F4" s="31" t="inlineStr">
        <is>
          <t>Packaging role</t>
        </is>
      </c>
      <c r="G4" s="31" t="inlineStr">
        <is>
          <t>Marketing label</t>
        </is>
      </c>
      <c r="H4" s="31" t="inlineStr">
        <is>
          <t>Assigned tier</t>
        </is>
      </c>
    </row>
    <row r="5">
      <c r="A5" s="32" t="n">
        <v>1</v>
      </c>
      <c r="B5" s="33" t="inlineStr">
        <is>
          <t>24/7 AI voice answering for inbound calls</t>
        </is>
      </c>
      <c r="C5" s="32" t="inlineStr">
        <is>
          <t>All</t>
        </is>
      </c>
      <c r="D5" s="32" t="inlineStr">
        <is>
          <t>Commodity</t>
        </is>
      </c>
      <c r="E5" s="32" t="inlineStr">
        <is>
          <t>Table stakes</t>
        </is>
      </c>
      <c r="F5" s="32" t="inlineStr">
        <is>
          <t>Freemium-Lite</t>
        </is>
      </c>
      <c r="G5" s="32" t="inlineStr">
        <is>
          <t>Commoditized</t>
        </is>
      </c>
      <c r="H5" s="32" t="inlineStr">
        <is>
          <t>Decoy</t>
        </is>
      </c>
    </row>
    <row r="6">
      <c r="A6" s="32" t="n">
        <v>2</v>
      </c>
      <c r="B6" s="33" t="inlineStr">
        <is>
          <t>Natural conversational voice interaction</t>
        </is>
      </c>
      <c r="C6" s="32" t="inlineStr">
        <is>
          <t>All</t>
        </is>
      </c>
      <c r="D6" s="32" t="inlineStr">
        <is>
          <t>Commodity</t>
        </is>
      </c>
      <c r="E6" s="32" t="inlineStr">
        <is>
          <t>Table stakes</t>
        </is>
      </c>
      <c r="F6" s="32" t="inlineStr">
        <is>
          <t>Freemium-Lite</t>
        </is>
      </c>
      <c r="G6" s="32" t="inlineStr">
        <is>
          <t>Commoditized</t>
        </is>
      </c>
      <c r="H6" s="32" t="inlineStr">
        <is>
          <t>Decoy</t>
        </is>
      </c>
    </row>
    <row r="7">
      <c r="A7" s="34" t="n">
        <v>3</v>
      </c>
      <c r="B7" s="35" t="inlineStr">
        <is>
          <t>AI chatbot for website/portal</t>
        </is>
      </c>
      <c r="C7" s="34" t="inlineStr">
        <is>
          <t>Some</t>
        </is>
      </c>
      <c r="D7" s="34" t="inlineStr">
        <is>
          <t>Commodity</t>
        </is>
      </c>
      <c r="E7" s="34" t="inlineStr">
        <is>
          <t>Noise</t>
        </is>
      </c>
      <c r="F7" s="34" t="inlineStr">
        <is>
          <t>Drop-bury</t>
        </is>
      </c>
      <c r="G7" s="34" t="inlineStr">
        <is>
          <t>Outdated</t>
        </is>
      </c>
      <c r="H7" s="34" t="inlineStr">
        <is>
          <t>Excluded</t>
        </is>
      </c>
    </row>
    <row r="8">
      <c r="A8" s="32" t="n">
        <v>4</v>
      </c>
      <c r="B8" s="33" t="inlineStr">
        <is>
          <t>Handles multiple calls simultaneously</t>
        </is>
      </c>
      <c r="C8" s="32" t="inlineStr">
        <is>
          <t>Most</t>
        </is>
      </c>
      <c r="D8" s="32" t="inlineStr">
        <is>
          <t>Commodity</t>
        </is>
      </c>
      <c r="E8" s="32" t="inlineStr">
        <is>
          <t>Table stakes</t>
        </is>
      </c>
      <c r="F8" s="32" t="inlineStr">
        <is>
          <t>Freemium-Lite</t>
        </is>
      </c>
      <c r="G8" s="32" t="inlineStr">
        <is>
          <t>Commoditized</t>
        </is>
      </c>
      <c r="H8" s="32" t="inlineStr">
        <is>
          <t>Decoy</t>
        </is>
      </c>
    </row>
    <row r="9">
      <c r="A9" s="32" t="n">
        <v>5</v>
      </c>
      <c r="B9" s="33" t="inlineStr">
        <is>
          <t>Warm transfer/escalation to human agent</t>
        </is>
      </c>
      <c r="C9" s="32" t="inlineStr">
        <is>
          <t>All</t>
        </is>
      </c>
      <c r="D9" s="32" t="inlineStr">
        <is>
          <t>Most do this</t>
        </is>
      </c>
      <c r="E9" s="32" t="inlineStr">
        <is>
          <t>Table stakes</t>
        </is>
      </c>
      <c r="F9" s="32" t="inlineStr">
        <is>
          <t>Freemium-Lite</t>
        </is>
      </c>
      <c r="G9" s="32" t="inlineStr">
        <is>
          <t>Commoditized</t>
        </is>
      </c>
      <c r="H9" s="32" t="inlineStr">
        <is>
          <t>Decoy</t>
        </is>
      </c>
    </row>
    <row r="10">
      <c r="A10" s="32" t="n">
        <v>6</v>
      </c>
      <c r="B10" s="33" t="inlineStr">
        <is>
          <t>After-hours lead capture</t>
        </is>
      </c>
      <c r="C10" s="32" t="inlineStr">
        <is>
          <t>All</t>
        </is>
      </c>
      <c r="D10" s="32" t="inlineStr">
        <is>
          <t>Commodity</t>
        </is>
      </c>
      <c r="E10" s="32" t="inlineStr">
        <is>
          <t>Table stakes</t>
        </is>
      </c>
      <c r="F10" s="32" t="inlineStr">
        <is>
          <t>Freemium-Lite</t>
        </is>
      </c>
      <c r="G10" s="32" t="inlineStr">
        <is>
          <t>Commoditized</t>
        </is>
      </c>
      <c r="H10" s="32" t="inlineStr">
        <is>
          <t>Decoy</t>
        </is>
      </c>
    </row>
    <row r="11">
      <c r="A11" s="32" t="n">
        <v>7</v>
      </c>
      <c r="B11" s="33" t="inlineStr">
        <is>
          <t>Lead qualification before agent handoff</t>
        </is>
      </c>
      <c r="C11" s="32" t="inlineStr">
        <is>
          <t>Most</t>
        </is>
      </c>
      <c r="D11" s="32" t="inlineStr">
        <is>
          <t>Most do this</t>
        </is>
      </c>
      <c r="E11" s="32" t="inlineStr">
        <is>
          <t>Table stakes</t>
        </is>
      </c>
      <c r="F11" s="32" t="inlineStr">
        <is>
          <t>Freemium-Lite</t>
        </is>
      </c>
      <c r="G11" s="32" t="inlineStr">
        <is>
          <t>Commoditized</t>
        </is>
      </c>
      <c r="H11" s="32" t="inlineStr">
        <is>
          <t>Decoy</t>
        </is>
      </c>
    </row>
    <row r="12">
      <c r="A12" s="32" t="n">
        <v>8</v>
      </c>
      <c r="B12" s="33" t="inlineStr">
        <is>
          <t>Call transcription &amp; conversation summaries</t>
        </is>
      </c>
      <c r="C12" s="32" t="inlineStr">
        <is>
          <t>Most</t>
        </is>
      </c>
      <c r="D12" s="32" t="inlineStr">
        <is>
          <t>Most do this</t>
        </is>
      </c>
      <c r="E12" s="32" t="inlineStr">
        <is>
          <t>Table stakes</t>
        </is>
      </c>
      <c r="F12" s="32" t="inlineStr">
        <is>
          <t>Freemium-Lite</t>
        </is>
      </c>
      <c r="G12" s="32" t="inlineStr">
        <is>
          <t>Commoditized</t>
        </is>
      </c>
      <c r="H12" s="32" t="inlineStr">
        <is>
          <t>Decoy</t>
        </is>
      </c>
    </row>
    <row r="13">
      <c r="A13" s="32" t="n">
        <v>9</v>
      </c>
      <c r="B13" s="33" t="inlineStr">
        <is>
          <t>Structured caller information captured for agent</t>
        </is>
      </c>
      <c r="C13" s="32" t="inlineStr">
        <is>
          <t>Most</t>
        </is>
      </c>
      <c r="D13" s="32" t="inlineStr">
        <is>
          <t>Most do this</t>
        </is>
      </c>
      <c r="E13" s="32" t="inlineStr">
        <is>
          <t>Table stakes</t>
        </is>
      </c>
      <c r="F13" s="32" t="inlineStr">
        <is>
          <t>Freemium-Lite</t>
        </is>
      </c>
      <c r="G13" s="32" t="inlineStr">
        <is>
          <t>Commoditized</t>
        </is>
      </c>
      <c r="H13" s="32" t="inlineStr">
        <is>
          <t>Decoy</t>
        </is>
      </c>
    </row>
    <row r="14">
      <c r="A14" s="36" t="n">
        <v>10</v>
      </c>
      <c r="B14" s="37" t="inlineStr">
        <is>
          <t>Answers Medicare plan-specific questions</t>
        </is>
      </c>
      <c r="C14" s="36" t="inlineStr">
        <is>
          <t>All</t>
        </is>
      </c>
      <c r="D14" s="36" t="inlineStr">
        <is>
          <t>Only we do this</t>
        </is>
      </c>
      <c r="E14" s="36" t="inlineStr">
        <is>
          <t>Differentiator</t>
        </is>
      </c>
      <c r="F14" s="36" t="inlineStr">
        <is>
          <t>Premium-Hero</t>
        </is>
      </c>
      <c r="G14" s="36" t="inlineStr">
        <is>
          <t>Leading</t>
        </is>
      </c>
      <c r="H14" s="36" t="inlineStr">
        <is>
          <t>Hero</t>
        </is>
      </c>
    </row>
    <row r="15">
      <c r="A15" s="36" t="n">
        <v>11</v>
      </c>
      <c r="B15" s="37" t="inlineStr">
        <is>
          <t>Understands plan benefits from plan documents</t>
        </is>
      </c>
      <c r="C15" s="36" t="inlineStr">
        <is>
          <t>All</t>
        </is>
      </c>
      <c r="D15" s="36" t="inlineStr">
        <is>
          <t>Only we do this</t>
        </is>
      </c>
      <c r="E15" s="36" t="inlineStr">
        <is>
          <t>Differentiator</t>
        </is>
      </c>
      <c r="F15" s="36" t="inlineStr">
        <is>
          <t>Premium-Hero</t>
        </is>
      </c>
      <c r="G15" s="36" t="inlineStr">
        <is>
          <t>Leading</t>
        </is>
      </c>
      <c r="H15" s="36" t="inlineStr">
        <is>
          <t>Hero</t>
        </is>
      </c>
    </row>
    <row r="16">
      <c r="A16" s="36" t="n">
        <v>12</v>
      </c>
      <c r="B16" s="37" t="inlineStr">
        <is>
          <t>Answers benefits: dental, vision, hearing, transportation, OTC/flex</t>
        </is>
      </c>
      <c r="C16" s="36" t="inlineStr">
        <is>
          <t>All</t>
        </is>
      </c>
      <c r="D16" s="36" t="inlineStr">
        <is>
          <t>Only we do this</t>
        </is>
      </c>
      <c r="E16" s="36" t="inlineStr">
        <is>
          <t>Differentiator</t>
        </is>
      </c>
      <c r="F16" s="36" t="inlineStr">
        <is>
          <t>Premium-Hero</t>
        </is>
      </c>
      <c r="G16" s="36" t="inlineStr">
        <is>
          <t>Leading</t>
        </is>
      </c>
      <c r="H16" s="36" t="inlineStr">
        <is>
          <t>Hero</t>
        </is>
      </c>
    </row>
    <row r="17">
      <c r="A17" s="36" t="n">
        <v>13</v>
      </c>
      <c r="B17" s="37" t="inlineStr">
        <is>
          <t>Plan-specific premium/copay/cost-sharing questions</t>
        </is>
      </c>
      <c r="C17" s="36" t="inlineStr">
        <is>
          <t>All</t>
        </is>
      </c>
      <c r="D17" s="36" t="inlineStr">
        <is>
          <t>Only we do this</t>
        </is>
      </c>
      <c r="E17" s="36" t="inlineStr">
        <is>
          <t>Differentiator</t>
        </is>
      </c>
      <c r="F17" s="36" t="inlineStr">
        <is>
          <t>Premium-Hero</t>
        </is>
      </c>
      <c r="G17" s="36" t="inlineStr">
        <is>
          <t>Leading</t>
        </is>
      </c>
      <c r="H17" s="36" t="inlineStr">
        <is>
          <t>Hero</t>
        </is>
      </c>
    </row>
    <row r="18">
      <c r="A18" s="36" t="n">
        <v>14</v>
      </c>
      <c r="B18" s="37" t="inlineStr">
        <is>
          <t>Compare benefits across Medicare plans</t>
        </is>
      </c>
      <c r="C18" s="36" t="inlineStr">
        <is>
          <t>Most</t>
        </is>
      </c>
      <c r="D18" s="36" t="inlineStr">
        <is>
          <t>A few do this</t>
        </is>
      </c>
      <c r="E18" s="36" t="inlineStr">
        <is>
          <t>Differentiator</t>
        </is>
      </c>
      <c r="F18" s="36" t="inlineStr">
        <is>
          <t>Premium-Hero</t>
        </is>
      </c>
      <c r="G18" s="36" t="inlineStr">
        <is>
          <t>Leading</t>
        </is>
      </c>
      <c r="H18" s="36" t="inlineStr">
        <is>
          <t>Hero</t>
        </is>
      </c>
    </row>
    <row r="19">
      <c r="A19" s="36" t="n">
        <v>15</v>
      </c>
      <c r="B19" s="37" t="inlineStr">
        <is>
          <t>AI trained on your agency and the Medicare plans you sell</t>
        </is>
      </c>
      <c r="C19" s="36" t="inlineStr">
        <is>
          <t>Most</t>
        </is>
      </c>
      <c r="D19" s="36" t="inlineStr">
        <is>
          <t>Only we do this</t>
        </is>
      </c>
      <c r="E19" s="36" t="inlineStr">
        <is>
          <t>Differentiator</t>
        </is>
      </c>
      <c r="F19" s="36" t="inlineStr">
        <is>
          <t>Premium-Hero</t>
        </is>
      </c>
      <c r="G19" s="36" t="inlineStr">
        <is>
          <t>Leading</t>
        </is>
      </c>
      <c r="H19" s="36" t="inlineStr">
        <is>
          <t>Hero</t>
        </is>
      </c>
    </row>
    <row r="20">
      <c r="A20" s="32" t="n">
        <v>16</v>
      </c>
      <c r="B20" s="33" t="inlineStr">
        <is>
          <t>Agency-branded AI voice agent</t>
        </is>
      </c>
      <c r="C20" s="32" t="inlineStr">
        <is>
          <t>Most</t>
        </is>
      </c>
      <c r="D20" s="32" t="inlineStr">
        <is>
          <t>Most do this</t>
        </is>
      </c>
      <c r="E20" s="32" t="inlineStr">
        <is>
          <t>Table stakes</t>
        </is>
      </c>
      <c r="F20" s="32" t="inlineStr">
        <is>
          <t>Freemium-Lite</t>
        </is>
      </c>
      <c r="G20" s="32" t="inlineStr">
        <is>
          <t>Commoditized</t>
        </is>
      </c>
      <c r="H20" s="32" t="inlineStr">
        <is>
          <t>Decoy</t>
        </is>
      </c>
    </row>
    <row r="21">
      <c r="A21" s="32" t="n">
        <v>17</v>
      </c>
      <c r="B21" s="33" t="inlineStr">
        <is>
          <t>Agency-branded AI chatbot</t>
        </is>
      </c>
      <c r="C21" s="32" t="inlineStr">
        <is>
          <t>Most</t>
        </is>
      </c>
      <c r="D21" s="32" t="inlineStr">
        <is>
          <t>Most do this</t>
        </is>
      </c>
      <c r="E21" s="32" t="inlineStr">
        <is>
          <t>Table stakes</t>
        </is>
      </c>
      <c r="F21" s="32" t="inlineStr">
        <is>
          <t>Freemium-Lite</t>
        </is>
      </c>
      <c r="G21" s="32" t="inlineStr">
        <is>
          <t>Commoditized</t>
        </is>
      </c>
      <c r="H21" s="32" t="inlineStr">
        <is>
          <t>Decoy</t>
        </is>
      </c>
    </row>
    <row r="22">
      <c r="A22" s="32" t="n">
        <v>18</v>
      </c>
      <c r="B22" s="33" t="inlineStr">
        <is>
          <t>Embed chatbot into agency's existing website</t>
        </is>
      </c>
      <c r="C22" s="32" t="inlineStr">
        <is>
          <t>Most</t>
        </is>
      </c>
      <c r="D22" s="32" t="inlineStr">
        <is>
          <t>Commodity</t>
        </is>
      </c>
      <c r="E22" s="32" t="inlineStr">
        <is>
          <t>Table stakes</t>
        </is>
      </c>
      <c r="F22" s="32" t="inlineStr">
        <is>
          <t>Freemium-Lite</t>
        </is>
      </c>
      <c r="G22" s="32" t="inlineStr">
        <is>
          <t>Commoditized</t>
        </is>
      </c>
      <c r="H22" s="32" t="inlineStr">
        <is>
          <t>Decoy</t>
        </is>
      </c>
    </row>
    <row r="23">
      <c r="A23" s="38" t="n">
        <v>19</v>
      </c>
      <c r="B23" s="39" t="inlineStr">
        <is>
          <t>Complete website + chat + voice package for small agencies</t>
        </is>
      </c>
      <c r="C23" s="38" t="inlineStr">
        <is>
          <t>Some</t>
        </is>
      </c>
      <c r="D23" s="38" t="inlineStr">
        <is>
          <t>A few do this</t>
        </is>
      </c>
      <c r="E23" s="38" t="inlineStr">
        <is>
          <t>Niche</t>
        </is>
      </c>
      <c r="F23" s="38" t="inlineStr">
        <is>
          <t>Enterprise-Add-on</t>
        </is>
      </c>
      <c r="G23" s="38" t="inlineStr">
        <is>
          <t>Innovation</t>
        </is>
      </c>
      <c r="H23" s="38" t="inlineStr">
        <is>
          <t>Anchor</t>
        </is>
      </c>
    </row>
    <row r="24">
      <c r="A24" s="32" t="n">
        <v>20</v>
      </c>
      <c r="B24" s="33" t="inlineStr">
        <is>
          <t>CRM integration / lead handoff</t>
        </is>
      </c>
      <c r="C24" s="32" t="inlineStr">
        <is>
          <t>Most</t>
        </is>
      </c>
      <c r="D24" s="32" t="inlineStr">
        <is>
          <t>Most do this</t>
        </is>
      </c>
      <c r="E24" s="32" t="inlineStr">
        <is>
          <t>Table stakes</t>
        </is>
      </c>
      <c r="F24" s="32" t="inlineStr">
        <is>
          <t>Freemium-Lite</t>
        </is>
      </c>
      <c r="G24" s="32" t="inlineStr">
        <is>
          <t>Commoditized</t>
        </is>
      </c>
      <c r="H24" s="32" t="inlineStr">
        <is>
          <t>Decoy</t>
        </is>
      </c>
    </row>
    <row r="25">
      <c r="A25" s="32" t="n">
        <v>21</v>
      </c>
      <c r="B25" s="33" t="inlineStr">
        <is>
          <t>Call analytics/dashboard</t>
        </is>
      </c>
      <c r="C25" s="32" t="inlineStr">
        <is>
          <t>Most</t>
        </is>
      </c>
      <c r="D25" s="32" t="inlineStr">
        <is>
          <t>Commodity</t>
        </is>
      </c>
      <c r="E25" s="32" t="inlineStr">
        <is>
          <t>Table stakes</t>
        </is>
      </c>
      <c r="F25" s="32" t="inlineStr">
        <is>
          <t>Freemium-Lite</t>
        </is>
      </c>
      <c r="G25" s="32" t="inlineStr">
        <is>
          <t>Commoditized</t>
        </is>
      </c>
      <c r="H25" s="32" t="inlineStr">
        <is>
          <t>Decoy</t>
        </is>
      </c>
    </row>
    <row r="26">
      <c r="A26" s="32" t="n">
        <v>22</v>
      </c>
      <c r="B26" s="33" t="inlineStr">
        <is>
          <t>Multilingual support</t>
        </is>
      </c>
      <c r="C26" s="32" t="inlineStr">
        <is>
          <t>Most</t>
        </is>
      </c>
      <c r="D26" s="32" t="inlineStr">
        <is>
          <t>Most do this</t>
        </is>
      </c>
      <c r="E26" s="32" t="inlineStr">
        <is>
          <t>Table stakes</t>
        </is>
      </c>
      <c r="F26" s="32" t="inlineStr">
        <is>
          <t>Freemium-Lite</t>
        </is>
      </c>
      <c r="G26" s="32" t="inlineStr">
        <is>
          <t>Commoditized</t>
        </is>
      </c>
      <c r="H26" s="32" t="inlineStr">
        <is>
          <t>Decoy</t>
        </is>
      </c>
    </row>
    <row r="27">
      <c r="A27" s="32" t="n">
        <v>23</v>
      </c>
      <c r="B27" s="33" t="inlineStr">
        <is>
          <t>Custom agency knowledge base</t>
        </is>
      </c>
      <c r="C27" s="32" t="inlineStr">
        <is>
          <t>Most</t>
        </is>
      </c>
      <c r="D27" s="32" t="inlineStr">
        <is>
          <t>Most do this</t>
        </is>
      </c>
      <c r="E27" s="32" t="inlineStr">
        <is>
          <t>Table stakes</t>
        </is>
      </c>
      <c r="F27" s="32" t="inlineStr">
        <is>
          <t>Freemium-Lite</t>
        </is>
      </c>
      <c r="G27" s="32" t="inlineStr">
        <is>
          <t>Commoditized</t>
        </is>
      </c>
      <c r="H27" s="32" t="inlineStr">
        <is>
          <t>Decoy</t>
        </is>
      </c>
    </row>
    <row r="28">
      <c r="A28" s="32" t="n">
        <v>24</v>
      </c>
      <c r="B28" s="33" t="inlineStr">
        <is>
          <t>Appointment/callback scheduling (Coming Soon)</t>
        </is>
      </c>
      <c r="C28" s="32" t="inlineStr">
        <is>
          <t>Most</t>
        </is>
      </c>
      <c r="D28" s="32" t="inlineStr">
        <is>
          <t>Most do this</t>
        </is>
      </c>
      <c r="E28" s="32" t="inlineStr">
        <is>
          <t>Table stakes</t>
        </is>
      </c>
      <c r="F28" s="32" t="inlineStr">
        <is>
          <t>Freemium-Lite</t>
        </is>
      </c>
      <c r="G28" s="32" t="inlineStr">
        <is>
          <t>Commoditized</t>
        </is>
      </c>
      <c r="H28" s="32" t="inlineStr">
        <is>
          <t>Decoy</t>
        </is>
      </c>
    </row>
    <row r="29">
      <c r="A29" s="38" t="n">
        <v>25</v>
      </c>
      <c r="B29" s="39" t="inlineStr">
        <is>
          <t>Centralized deployment across agencies/downlines (Coming Soon)</t>
        </is>
      </c>
      <c r="C29" s="38" t="inlineStr">
        <is>
          <t>Some</t>
        </is>
      </c>
      <c r="D29" s="38" t="inlineStr">
        <is>
          <t>A few do this</t>
        </is>
      </c>
      <c r="E29" s="38" t="inlineStr">
        <is>
          <t>Niche</t>
        </is>
      </c>
      <c r="F29" s="38" t="inlineStr">
        <is>
          <t>Enterprise-Add-on</t>
        </is>
      </c>
      <c r="G29" s="38" t="inlineStr">
        <is>
          <t>Innovation</t>
        </is>
      </c>
      <c r="H29" s="38" t="inlineStr">
        <is>
          <t>Anchor</t>
        </is>
      </c>
    </row>
    <row r="31">
      <c r="A31" s="3" t="inlineStr">
        <is>
          <t>Zone counts</t>
        </is>
      </c>
      <c r="B31" s="40" t="inlineStr"/>
    </row>
    <row r="32">
      <c r="A32" s="11" t="inlineStr">
        <is>
          <t>Table stakes</t>
        </is>
      </c>
      <c r="B32" s="41" t="n">
        <v>16</v>
      </c>
    </row>
    <row r="33">
      <c r="A33" s="11" t="inlineStr">
        <is>
          <t>Differentiator</t>
        </is>
      </c>
      <c r="B33" s="41" t="n">
        <v>6</v>
      </c>
    </row>
    <row r="34">
      <c r="A34" s="11" t="inlineStr">
        <is>
          <t>Niche</t>
        </is>
      </c>
      <c r="B34" s="41" t="n">
        <v>2</v>
      </c>
    </row>
    <row r="35">
      <c r="A35" s="11" t="inlineStr">
        <is>
          <t>Noise</t>
        </is>
      </c>
      <c r="B35" s="41" t="n">
        <v>1</v>
      </c>
    </row>
    <row r="37">
      <c r="A37" s="8" t="inlineStr">
        <is>
          <t>All six differentiators are the L3 Medicare plan-IP layer. No commodity feature reaches the differentiator zone, which is why the Hero tier is built on plan intelligence and nothing else.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6" max="6"/>
  </cols>
  <sheetData>
    <row r="1">
      <c r="A1" s="1" t="inlineStr">
        <is>
          <t>Bottom-Up Price Build  (Phase 5)</t>
        </is>
      </c>
    </row>
    <row r="2">
      <c r="A2" s="2" t="inlineStr">
        <is>
          <t>Floor, then market band, then value ceiling, then the Hero price inside them. Every input lives on the Control Panel; this tab only assembles them.</t>
        </is>
      </c>
    </row>
    <row r="4">
      <c r="A4" s="9" t="inlineStr">
        <is>
          <t>LAYER 1  -  COST FLOOR</t>
        </is>
      </c>
      <c r="B4" s="10" t="n"/>
      <c r="C4" s="10" t="n"/>
      <c r="D4" s="10" t="n"/>
      <c r="E4" s="10" t="n"/>
      <c r="F4" s="10" t="n"/>
    </row>
    <row r="5">
      <c r="A5" s="11" t="inlineStr">
        <is>
          <t>Cost per conversation</t>
        </is>
      </c>
      <c r="B5" s="23">
        <f>'Control Panel'!B10</f>
        <v/>
      </c>
    </row>
    <row r="6">
      <c r="A6" s="11" t="inlineStr">
        <is>
          <t>Fixed cost per account per month</t>
        </is>
      </c>
      <c r="B6" s="20">
        <f>'Control Panel'!B11</f>
        <v/>
      </c>
    </row>
    <row r="7">
      <c r="A7" s="11" t="inlineStr">
        <is>
          <t>Cost to serve at reference volume</t>
        </is>
      </c>
      <c r="B7" s="20">
        <f>'Control Panel'!B14</f>
        <v/>
      </c>
    </row>
    <row r="8">
      <c r="A8" s="11" t="inlineStr">
        <is>
          <t>Target gross margin</t>
        </is>
      </c>
      <c r="B8" s="26">
        <f>'Control Panel'!B12</f>
        <v/>
      </c>
    </row>
    <row r="9">
      <c r="A9" s="15" t="inlineStr">
        <is>
          <t>Floor price</t>
        </is>
      </c>
      <c r="B9" s="21">
        <f>'Control Panel'!B15</f>
        <v/>
      </c>
      <c r="F9" s="8" t="inlineStr">
        <is>
          <t>The Hero must clear this.</t>
        </is>
      </c>
    </row>
    <row r="11">
      <c r="A11" s="9" t="inlineStr">
        <is>
          <t>LAYER 2  -  MARKET BAND</t>
        </is>
      </c>
      <c r="B11" s="10" t="n"/>
      <c r="C11" s="10" t="n"/>
      <c r="D11" s="10" t="n"/>
      <c r="E11" s="10" t="n"/>
      <c r="F11" s="10" t="n"/>
    </row>
    <row r="12">
      <c r="A12" s="11" t="inlineStr">
        <is>
          <t>Market low</t>
        </is>
      </c>
      <c r="B12" s="20">
        <f>'Control Panel'!B22</f>
        <v/>
      </c>
    </row>
    <row r="13">
      <c r="A13" s="11" t="inlineStr">
        <is>
          <t>Market median</t>
        </is>
      </c>
      <c r="B13" s="20">
        <f>'Control Panel'!B23</f>
        <v/>
      </c>
    </row>
    <row r="14">
      <c r="A14" s="11" t="inlineStr">
        <is>
          <t>Market high</t>
        </is>
      </c>
      <c r="B14" s="20">
        <f>'Control Panel'!B24</f>
        <v/>
      </c>
      <c r="F14" s="8" t="inlineStr">
        <is>
          <t>careCycle. The anomaly this whole segment is priced out of.</t>
        </is>
      </c>
    </row>
    <row r="16">
      <c r="A16" s="9" t="inlineStr">
        <is>
          <t>LAYER 3  -  VALUE CEILING</t>
        </is>
      </c>
      <c r="B16" s="10" t="n"/>
      <c r="C16" s="10" t="n"/>
      <c r="D16" s="10" t="n"/>
      <c r="E16" s="10" t="n"/>
      <c r="F16" s="10" t="n"/>
    </row>
    <row r="17">
      <c r="A17" s="15" t="inlineStr">
        <is>
          <t>Value ceiling per month (base case)</t>
        </is>
      </c>
      <c r="B17" s="21">
        <f>'Control Panel'!B33</f>
        <v/>
      </c>
      <c r="F17" s="8" t="inlineStr">
        <is>
          <t>Year-one commissions only, so deliberately conservative. At MVP this sits below the floor, which is expected: price leans on floor and market until outcome data exists.</t>
        </is>
      </c>
    </row>
    <row r="19">
      <c r="A19" s="9" t="inlineStr">
        <is>
          <t>HERO PRICE</t>
        </is>
      </c>
      <c r="B19" s="10" t="n"/>
      <c r="C19" s="10" t="n"/>
      <c r="D19" s="10" t="n"/>
      <c r="E19" s="10" t="n"/>
      <c r="F19" s="10" t="n"/>
    </row>
    <row r="20">
      <c r="A20" s="11" t="inlineStr">
        <is>
          <t>Lower bound</t>
        </is>
      </c>
      <c r="B20" s="20">
        <f>MAX(B9,B12)</f>
        <v/>
      </c>
    </row>
    <row r="21">
      <c r="A21" s="11" t="inlineStr">
        <is>
          <t>Upper bound</t>
        </is>
      </c>
      <c r="B21" s="20">
        <f>MAX(B17,B14)</f>
        <v/>
      </c>
    </row>
    <row r="22">
      <c r="A22" s="25" t="inlineStr">
        <is>
          <t>Chosen Hero price (Plan Fluent)</t>
        </is>
      </c>
      <c r="B22" s="21">
        <f>'Control Panel'!B38</f>
        <v/>
      </c>
      <c r="F22" s="8" t="inlineStr">
        <is>
          <t>A decision, not a formula. Edit it on the Control Panel.</t>
        </is>
      </c>
    </row>
    <row r="23">
      <c r="A23" s="11" t="inlineStr">
        <is>
          <t>Gross margin at full allowance</t>
        </is>
      </c>
      <c r="B23" s="26">
        <f>'Control Panel'!F38</f>
        <v/>
      </c>
    </row>
    <row r="24">
      <c r="A24" s="11" t="inlineStr">
        <is>
          <t>Clears the floor?</t>
        </is>
      </c>
      <c r="B24" s="6">
        <f>IF(B22&gt;=B9,"Yes","No - revise")</f>
        <v/>
      </c>
    </row>
    <row r="25">
      <c r="A25" s="11" t="inlineStr">
        <is>
          <t>Multiple below careCycle</t>
        </is>
      </c>
      <c r="B25" s="42">
        <f>B14/B22</f>
        <v/>
      </c>
      <c r="F25" s="8" t="inlineStr">
        <is>
          <t>The OF-1 wedge, quantified.</t>
        </is>
      </c>
    </row>
    <row r="27">
      <c r="A27" s="9" t="inlineStr">
        <is>
          <t>DERIVED TIERS</t>
        </is>
      </c>
      <c r="B27" s="10" t="n"/>
      <c r="C27" s="10" t="n"/>
      <c r="D27" s="10" t="n"/>
      <c r="E27" s="10" t="n"/>
      <c r="F27" s="10" t="n"/>
    </row>
    <row r="28">
      <c r="A28" s="11" t="inlineStr">
        <is>
          <t>Front Desk (Decoy)</t>
        </is>
      </c>
      <c r="B28" s="20">
        <f>'Control Panel'!B37</f>
        <v/>
      </c>
      <c r="C28" s="43">
        <f>'Control Panel'!B37/'Control Panel'!B38</f>
        <v/>
      </c>
      <c r="D28" s="8" t="inlineStr">
        <is>
          <t>x Hero</t>
        </is>
      </c>
    </row>
    <row r="29">
      <c r="A29" s="11" t="inlineStr">
        <is>
          <t>Downline (Anchor), reference</t>
        </is>
      </c>
      <c r="B29" s="20">
        <f>'Control Panel'!B39</f>
        <v/>
      </c>
      <c r="C29" s="43">
        <f>'Control Panel'!B39/'Control Panel'!B38</f>
        <v/>
      </c>
      <c r="D29" s="8" t="inlineStr">
        <is>
          <t>x Hero</t>
        </is>
      </c>
    </row>
    <row r="30">
      <c r="A30" s="8" t="inlineStr">
        <is>
          <t>Methodology guide: Decoy 0.30-0.50x, Anchor 2.0-4.0x</t>
        </is>
      </c>
    </row>
    <row r="32">
      <c r="A32" s="9" t="inlineStr">
        <is>
          <t>BILLING VIEW</t>
        </is>
      </c>
      <c r="B32" s="10" t="n"/>
      <c r="C32" s="10" t="n"/>
      <c r="D32" s="10" t="n"/>
      <c r="E32" s="10" t="n"/>
      <c r="F32" s="10" t="n"/>
    </row>
    <row r="33">
      <c r="A33" s="3" t="inlineStr"/>
      <c r="B33" s="22" t="inlineStr">
        <is>
          <t>Monthly</t>
        </is>
      </c>
      <c r="C33" s="22" t="inlineStr">
        <is>
          <t>Annual (per mo.)</t>
        </is>
      </c>
      <c r="D33" s="22" t="inlineStr">
        <is>
          <t>Annual total</t>
        </is>
      </c>
      <c r="E33" s="3" t="inlineStr"/>
      <c r="F33" s="3" t="inlineStr"/>
    </row>
    <row r="34">
      <c r="A34" s="11" t="inlineStr">
        <is>
          <t>Front Desk</t>
        </is>
      </c>
      <c r="B34" s="20">
        <f>'Control Panel'!B37</f>
        <v/>
      </c>
      <c r="C34" s="20">
        <f>'Control Panel'!B37*(1-'Control Panel'!$B$50)</f>
        <v/>
      </c>
      <c r="D34" s="20">
        <f>C34*12</f>
        <v/>
      </c>
    </row>
    <row r="35">
      <c r="A35" s="25" t="inlineStr">
        <is>
          <t>Plan Fluent</t>
        </is>
      </c>
      <c r="B35" s="20">
        <f>'Control Panel'!B38</f>
        <v/>
      </c>
      <c r="C35" s="20">
        <f>'Control Panel'!B38*(1-'Control Panel'!$B$50)</f>
        <v/>
      </c>
      <c r="D35" s="20">
        <f>C35*12</f>
        <v/>
      </c>
    </row>
    <row r="36">
      <c r="A36" s="11" t="inlineStr">
        <is>
          <t>Downline (from)</t>
        </is>
      </c>
      <c r="B36" s="20">
        <f>'Control Panel'!B39</f>
        <v/>
      </c>
      <c r="C36" s="20">
        <f>'Control Panel'!B39*(1-'Control Panel'!$B$50)</f>
        <v/>
      </c>
      <c r="D36" s="20">
        <f>C36*12</f>
        <v/>
      </c>
    </row>
    <row r="38">
      <c r="A38" s="9" t="inlineStr">
        <is>
          <t>FLOOR SENSITIVITY  -  the floor moves with volume</t>
        </is>
      </c>
      <c r="B38" s="10" t="n"/>
      <c r="C38" s="10" t="n"/>
      <c r="D38" s="10" t="n"/>
      <c r="E38" s="10" t="n"/>
      <c r="F38" s="10" t="n"/>
    </row>
    <row r="39">
      <c r="A39" s="22" t="inlineStr">
        <is>
          <t>Scenario</t>
        </is>
      </c>
      <c r="B39" s="22" t="inlineStr">
        <is>
          <t>Conversations</t>
        </is>
      </c>
      <c r="C39" s="22" t="inlineStr">
        <is>
          <t>Cost to serve</t>
        </is>
      </c>
      <c r="D39" s="22" t="inlineStr">
        <is>
          <t>Floor at target margin</t>
        </is>
      </c>
      <c r="E39" s="22" t="inlineStr">
        <is>
          <t>Hero clears it?</t>
        </is>
      </c>
      <c r="F39" s="22" t="inlineStr">
        <is>
          <t>Note</t>
        </is>
      </c>
    </row>
    <row r="40">
      <c r="A40" s="11" t="inlineStr">
        <is>
          <t>Expected usage (the pricing basis)</t>
        </is>
      </c>
      <c r="B40" s="53">
        <f>'Control Panel'!$B$13</f>
        <v/>
      </c>
      <c r="C40" s="64">
        <f>'Control Panel'!$B$11+B40*'Control Panel'!$B$10</f>
        <v/>
      </c>
      <c r="D40" s="64">
        <f>C40/(1-'Control Panel'!$B$12)</f>
        <v/>
      </c>
      <c r="E40" s="6">
        <f>IF('Control Panel'!$B$38&gt;=D40,"Yes","No")</f>
        <v/>
      </c>
      <c r="F40" s="45" t="inlineStr">
        <is>
          <t>Priced here. This is what a typical agency actually uses.</t>
        </is>
      </c>
    </row>
    <row r="41">
      <c r="A41" s="11" t="inlineStr">
        <is>
          <t>Full allowance (worst case)</t>
        </is>
      </c>
      <c r="B41" s="53">
        <f>'Control Panel'!$C$38</f>
        <v/>
      </c>
      <c r="C41" s="64">
        <f>'Control Panel'!$B$11+B41*'Control Panel'!$B$10</f>
        <v/>
      </c>
      <c r="D41" s="64">
        <f>C41/(1-'Control Panel'!$B$12)</f>
        <v/>
      </c>
      <c r="E41" s="6">
        <f>IF('Control Panel'!$B$38&gt;=D41,"Yes","No")</f>
        <v/>
      </c>
      <c r="F41" s="45" t="inlineStr">
        <is>
          <t>Every account maxing its allowance. Margin at this point is shown on the Control Panel, section D.</t>
        </is>
      </c>
    </row>
    <row r="42">
      <c r="A42" s="11" t="inlineStr">
        <is>
          <t>Double allowance</t>
        </is>
      </c>
      <c r="B42" s="53">
        <f>'Control Panel'!$C$38*2</f>
        <v/>
      </c>
      <c r="C42" s="64">
        <f>'Control Panel'!$B$11+B42*'Control Panel'!$B$10</f>
        <v/>
      </c>
      <c r="D42" s="64">
        <f>C42/(1-'Control Panel'!$B$12)</f>
        <v/>
      </c>
      <c r="E42" s="6">
        <f>IF('Control Panel'!$B$38&gt;=D42,"Yes","No")</f>
        <v/>
      </c>
      <c r="F42" s="45" t="inlineStr">
        <is>
          <t>Overage revenue kicks in above the allowance, so margin recovers rather than collapsing.</t>
        </is>
      </c>
    </row>
    <row r="44" ht="52" customHeight="1">
      <c r="A44" s="77" t="inlineStr">
        <is>
          <t>Read this honestly: the Hero clears the floor at expected usage, which is the right basis, because the included allowance is a cap rather than a forecast. At full allowance the gross margin is about 68%, a little under the 70% target. That is an accepted trade: predictability is the positioning, and an allowance tight enough to hold 80% would put a typical agency into overage every single month and break the promise the pricing is built on.</t>
        </is>
      </c>
    </row>
  </sheetData>
  <mergeCells count="1">
    <mergeCell ref="A44:F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52" customWidth="1" min="5" max="5"/>
  </cols>
  <sheetData>
    <row r="1">
      <c r="A1" s="1" t="inlineStr">
        <is>
          <t>Usage Rate Card  -  the scalable vehicle</t>
        </is>
      </c>
    </row>
    <row r="2">
      <c r="A2" s="2" t="inlineStr">
        <is>
          <t>Flat platform fee for predictability, metered conversations above the allowance so revenue scales with value, and a monthly cap so a busy AEP never produces a frightening invoice.</t>
        </is>
      </c>
    </row>
    <row r="4">
      <c r="A4" s="9" t="inlineStr">
        <is>
          <t>PLATFORM FEE AND INCLUDED USAGE</t>
        </is>
      </c>
      <c r="B4" s="10" t="n"/>
      <c r="C4" s="10" t="n"/>
      <c r="D4" s="10" t="n"/>
      <c r="E4" s="10" t="n"/>
    </row>
    <row r="5">
      <c r="A5" s="22" t="inlineStr"/>
      <c r="B5" s="22" t="inlineStr">
        <is>
          <t>Front Desk</t>
        </is>
      </c>
      <c r="C5" s="22" t="inlineStr">
        <is>
          <t>Plan Fluent</t>
        </is>
      </c>
      <c r="D5" s="22" t="inlineStr">
        <is>
          <t>Downline</t>
        </is>
      </c>
      <c r="E5" s="22" t="inlineStr">
        <is>
          <t>Notes</t>
        </is>
      </c>
    </row>
    <row r="6">
      <c r="A6" s="11" t="inlineStr">
        <is>
          <t>Platform fee, monthly</t>
        </is>
      </c>
      <c r="B6" s="20">
        <f>'Control Panel'!B37</f>
        <v/>
      </c>
      <c r="C6" s="44">
        <f>'Control Panel'!B38</f>
        <v/>
      </c>
      <c r="D6" s="20">
        <f>'Control Panel'!B39</f>
        <v/>
      </c>
      <c r="E6" s="45" t="inlineStr">
        <is>
          <t>Charged whether or not the allowance is used.</t>
        </is>
      </c>
    </row>
    <row r="7">
      <c r="A7" s="11" t="inlineStr">
        <is>
          <t>Platform fee, annual (per mo.)</t>
        </is>
      </c>
      <c r="B7" s="20">
        <f>'Control Panel'!B37*(1-'Control Panel'!$B$50)</f>
        <v/>
      </c>
      <c r="C7" s="44">
        <f>'Control Panel'!B38*(1-'Control Panel'!$B$50)</f>
        <v/>
      </c>
      <c r="D7" s="20">
        <f>'Control Panel'!B39*(1-'Control Panel'!$B$50)</f>
        <v/>
      </c>
      <c r="E7" s="45" t="inlineStr">
        <is>
          <t>Annual discount set on the Control Panel.</t>
        </is>
      </c>
    </row>
    <row r="8">
      <c r="A8" s="11" t="inlineStr">
        <is>
          <t>Conversations included / month</t>
        </is>
      </c>
      <c r="B8" s="46">
        <f>'Control Panel'!C37</f>
        <v/>
      </c>
      <c r="C8" s="47">
        <f>'Control Panel'!C38</f>
        <v/>
      </c>
      <c r="D8" s="46">
        <f>'Control Panel'!C39</f>
        <v/>
      </c>
      <c r="E8" s="45" t="inlineStr">
        <is>
          <t>A conversation is one answered voice call or chat session.</t>
        </is>
      </c>
    </row>
    <row r="9">
      <c r="A9" s="11" t="inlineStr">
        <is>
          <t>Effective rate inside allowance</t>
        </is>
      </c>
      <c r="B9" s="23">
        <f>'Control Panel'!B37/'Control Panel'!C37</f>
        <v/>
      </c>
      <c r="C9" s="48">
        <f>'Control Panel'!B38/'Control Panel'!C38</f>
        <v/>
      </c>
      <c r="D9" s="23">
        <f>'Control Panel'!B39/'Control Panel'!C39</f>
        <v/>
      </c>
      <c r="E9" s="45" t="inlineStr">
        <is>
          <t>What a buyer pays per conversation at full allowance.</t>
        </is>
      </c>
    </row>
    <row r="10">
      <c r="A10" s="11" t="inlineStr">
        <is>
          <t>Monthly overage ceiling</t>
        </is>
      </c>
      <c r="B10" s="20">
        <f>'Control Panel'!B37*'Control Panel'!$B$49</f>
        <v/>
      </c>
      <c r="C10" s="44">
        <f>'Control Panel'!B38*'Control Panel'!$B$49</f>
        <v/>
      </c>
      <c r="D10" s="20">
        <f>'Control Panel'!B39*'Control Panel'!$B$49</f>
        <v/>
      </c>
      <c r="E10" s="45" t="inlineStr">
        <is>
          <t>Surge protection. Overage can never exceed this in any month.</t>
        </is>
      </c>
    </row>
    <row r="11">
      <c r="A11" s="15" t="inlineStr">
        <is>
          <t>Worst-case monthly bill</t>
        </is>
      </c>
      <c r="B11" s="20">
        <f>'Control Panel'!B37*(1+'Control Panel'!$B$49)</f>
        <v/>
      </c>
      <c r="C11" s="44">
        <f>'Control Panel'!B38*(1+'Control Panel'!$B$49)</f>
        <v/>
      </c>
      <c r="D11" s="20">
        <f>'Control Panel'!B39*(1+'Control Panel'!$B$49)</f>
        <v/>
      </c>
      <c r="E11" s="45" t="inlineStr">
        <is>
          <t>Platform fee plus the capped overage. The number to put in front of a nervous buyer.</t>
        </is>
      </c>
    </row>
    <row r="13">
      <c r="A13" s="9" t="inlineStr">
        <is>
          <t>OVERAGE BANDS  (rate falls as volume rises)</t>
        </is>
      </c>
      <c r="B13" s="10" t="n"/>
      <c r="C13" s="10" t="n"/>
      <c r="D13" s="10" t="n"/>
      <c r="E13" s="10" t="n"/>
    </row>
    <row r="14">
      <c r="A14" s="22" t="inlineStr">
        <is>
          <t>Band</t>
        </is>
      </c>
      <c r="B14" s="22" t="inlineStr">
        <is>
          <t>Conversations over allowance</t>
        </is>
      </c>
      <c r="C14" s="22" t="inlineStr">
        <is>
          <t>Rate each</t>
        </is>
      </c>
      <c r="D14" s="22" t="inlineStr">
        <is>
          <t>With prepaid commit</t>
        </is>
      </c>
      <c r="E14" s="22" t="inlineStr">
        <is>
          <t>Margin at this rate</t>
        </is>
      </c>
    </row>
    <row r="15">
      <c r="A15" s="15" t="inlineStr">
        <is>
          <t>Band 1</t>
        </is>
      </c>
      <c r="B15" s="49" t="inlineStr">
        <is>
          <t>first 250 over</t>
        </is>
      </c>
      <c r="C15" s="23">
        <f>'Control Panel'!C43</f>
        <v/>
      </c>
      <c r="D15" s="23">
        <f>'Control Panel'!C43*(1-'Control Panel'!$B$51)</f>
        <v/>
      </c>
      <c r="E15" s="26">
        <f>('Control Panel'!C43-'Control Panel'!$B$10)/'Control Panel'!C43</f>
        <v/>
      </c>
    </row>
    <row r="16">
      <c r="A16" s="15" t="inlineStr">
        <is>
          <t>Band 2</t>
        </is>
      </c>
      <c r="B16" s="49" t="inlineStr">
        <is>
          <t>next 750</t>
        </is>
      </c>
      <c r="C16" s="23">
        <f>'Control Panel'!C44</f>
        <v/>
      </c>
      <c r="D16" s="23">
        <f>'Control Panel'!C44*(1-'Control Panel'!$B$51)</f>
        <v/>
      </c>
      <c r="E16" s="26">
        <f>('Control Panel'!C44-'Control Panel'!$B$10)/'Control Panel'!C44</f>
        <v/>
      </c>
    </row>
    <row r="17">
      <c r="A17" s="15" t="inlineStr">
        <is>
          <t>Band 3</t>
        </is>
      </c>
      <c r="B17" s="49" t="inlineStr">
        <is>
          <t>next 2,000</t>
        </is>
      </c>
      <c r="C17" s="23">
        <f>'Control Panel'!C45</f>
        <v/>
      </c>
      <c r="D17" s="23">
        <f>'Control Panel'!C45*(1-'Control Panel'!$B$51)</f>
        <v/>
      </c>
      <c r="E17" s="26">
        <f>('Control Panel'!C45-'Control Panel'!$B$10)/'Control Panel'!C45</f>
        <v/>
      </c>
    </row>
    <row r="18">
      <c r="A18" s="15" t="inlineStr">
        <is>
          <t>Band 4</t>
        </is>
      </c>
      <c r="B18" s="49" t="inlineStr">
        <is>
          <t>beyond that</t>
        </is>
      </c>
      <c r="C18" s="23">
        <f>'Control Panel'!C46</f>
        <v/>
      </c>
      <c r="D18" s="23">
        <f>'Control Panel'!C46*(1-'Control Panel'!$B$51)</f>
        <v/>
      </c>
      <c r="E18" s="26">
        <f>('Control Panel'!C46-'Control Panel'!$B$10)/'Control Panel'!C46</f>
        <v/>
      </c>
    </row>
    <row r="20">
      <c r="A20" s="8" t="inlineStr">
        <is>
          <t>How a bill works: platform fee, plus each band of over-allowance conversations at its own rate, with total overage capped at the ceiling above.</t>
        </is>
      </c>
      <c r="B20" s="50" t="n"/>
      <c r="C20" s="50" t="n"/>
      <c r="D20" s="50" t="n"/>
      <c r="E20" s="51" t="n"/>
    </row>
  </sheetData>
  <mergeCells count="1">
    <mergeCell ref="A20:E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Unit Economics by Volume</t>
        </is>
      </c>
    </row>
    <row r="2">
      <c r="A2" s="2" t="inlineStr">
        <is>
          <t>How one account behaves as its monthly conversations rise. Margin columns are colour scaled: green healthy, red thin. Where a tier goes red, that account belongs on the next tier up.</t>
        </is>
      </c>
    </row>
    <row r="4">
      <c r="A4" s="9" t="inlineStr">
        <is>
          <t>REVENUE, COST AND MARGIN PER ACCOUNT PER MONTH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</row>
    <row r="5">
      <c r="A5" s="22" t="inlineStr">
        <is>
          <t>Conversations</t>
        </is>
      </c>
      <c r="B5" s="22" t="inlineStr">
        <is>
          <t>Front Desk</t>
        </is>
      </c>
      <c r="C5" s="50" t="n"/>
      <c r="D5" s="51" t="n"/>
      <c r="E5" s="22" t="inlineStr">
        <is>
          <t>Plan Fluent</t>
        </is>
      </c>
      <c r="F5" s="50" t="n"/>
      <c r="G5" s="51" t="n"/>
      <c r="H5" s="22" t="inlineStr">
        <is>
          <t>Downline</t>
        </is>
      </c>
      <c r="I5" s="50" t="n"/>
      <c r="J5" s="51" t="n"/>
    </row>
    <row r="6">
      <c r="A6" s="3" t="inlineStr"/>
      <c r="B6" s="22" t="inlineStr">
        <is>
          <t>Revenue</t>
        </is>
      </c>
      <c r="C6" s="22" t="inlineStr">
        <is>
          <t>Cost</t>
        </is>
      </c>
      <c r="D6" s="22" t="inlineStr">
        <is>
          <t>Margin</t>
        </is>
      </c>
      <c r="E6" s="22" t="inlineStr">
        <is>
          <t>Revenue</t>
        </is>
      </c>
      <c r="F6" s="22" t="inlineStr">
        <is>
          <t>Cost</t>
        </is>
      </c>
      <c r="G6" s="22" t="inlineStr">
        <is>
          <t>Margin</t>
        </is>
      </c>
      <c r="H6" s="22" t="inlineStr">
        <is>
          <t>Revenue</t>
        </is>
      </c>
      <c r="I6" s="22" t="inlineStr">
        <is>
          <t>Cost</t>
        </is>
      </c>
      <c r="J6" s="22" t="inlineStr">
        <is>
          <t>Margin</t>
        </is>
      </c>
    </row>
    <row r="7">
      <c r="A7" s="53" t="n">
        <v>0</v>
      </c>
      <c r="B7" s="20">
        <f>'Control Panel'!$B$37+MIN((MIN(MAX(0,$A7-'Control Panel'!$C$37),'Control Panel'!$B$43)*'Control Panel'!$C$43+MIN(MAX(MAX(0,$A7-'Control Panel'!$C$37)-'Control Panel'!$B$43,0),'Control Panel'!$B$44-'Control Panel'!$B$43)*'Control Panel'!$C$44+MIN(MAX(MAX(0,$A7-'Control Panel'!$C$37)-'Control Panel'!$B$44,0),'Control Panel'!$B$45-'Control Panel'!$B$44)*'Control Panel'!$C$45+MAX(MAX(0,$A7-'Control Panel'!$C$37)-'Control Panel'!$B$45,0)*'Control Panel'!$C$46),'Control Panel'!$B$37*'Control Panel'!$B$49)</f>
        <v/>
      </c>
      <c r="C7" s="20">
        <f>'Control Panel'!$B$11+$A7*'Control Panel'!$B$10</f>
        <v/>
      </c>
      <c r="D7" s="26">
        <f>IF(B7=0,0,(B7-C7)/B7)</f>
        <v/>
      </c>
      <c r="E7" s="20">
        <f>'Control Panel'!$B$38+MIN((MIN(MAX(0,$A7-'Control Panel'!$C$38),'Control Panel'!$B$43)*'Control Panel'!$C$43+MIN(MAX(MAX(0,$A7-'Control Panel'!$C$38)-'Control Panel'!$B$43,0),'Control Panel'!$B$44-'Control Panel'!$B$43)*'Control Panel'!$C$44+MIN(MAX(MAX(0,$A7-'Control Panel'!$C$38)-'Control Panel'!$B$44,0),'Control Panel'!$B$45-'Control Panel'!$B$44)*'Control Panel'!$C$45+MAX(MAX(0,$A7-'Control Panel'!$C$38)-'Control Panel'!$B$45,0)*'Control Panel'!$C$46),'Control Panel'!$B$38*'Control Panel'!$B$49)</f>
        <v/>
      </c>
      <c r="F7" s="20">
        <f>'Control Panel'!$B$11+$A7*'Control Panel'!$B$10</f>
        <v/>
      </c>
      <c r="G7" s="26">
        <f>IF(E7=0,0,(E7-F7)/E7)</f>
        <v/>
      </c>
      <c r="H7" s="20">
        <f>'Control Panel'!$B$39+MIN((MIN(MAX(0,$A7-'Control Panel'!$C$39),'Control Panel'!$B$43)*'Control Panel'!$C$43+MIN(MAX(MAX(0,$A7-'Control Panel'!$C$39)-'Control Panel'!$B$43,0),'Control Panel'!$B$44-'Control Panel'!$B$43)*'Control Panel'!$C$44+MIN(MAX(MAX(0,$A7-'Control Panel'!$C$39)-'Control Panel'!$B$44,0),'Control Panel'!$B$45-'Control Panel'!$B$44)*'Control Panel'!$C$45+MAX(MAX(0,$A7-'Control Panel'!$C$39)-'Control Panel'!$B$45,0)*'Control Panel'!$C$46),'Control Panel'!$B$39*'Control Panel'!$B$49)</f>
        <v/>
      </c>
      <c r="I7" s="20">
        <f>'Control Panel'!$B$11+$A7*'Control Panel'!$B$10</f>
        <v/>
      </c>
      <c r="J7" s="26">
        <f>IF(H7=0,0,(H7-I7)/H7)</f>
        <v/>
      </c>
    </row>
    <row r="8">
      <c r="A8" s="53" t="n">
        <v>80</v>
      </c>
      <c r="B8" s="20">
        <f>'Control Panel'!$B$37+MIN((MIN(MAX(0,$A8-'Control Panel'!$C$37),'Control Panel'!$B$43)*'Control Panel'!$C$43+MIN(MAX(MAX(0,$A8-'Control Panel'!$C$37)-'Control Panel'!$B$43,0),'Control Panel'!$B$44-'Control Panel'!$B$43)*'Control Panel'!$C$44+MIN(MAX(MAX(0,$A8-'Control Panel'!$C$37)-'Control Panel'!$B$44,0),'Control Panel'!$B$45-'Control Panel'!$B$44)*'Control Panel'!$C$45+MAX(MAX(0,$A8-'Control Panel'!$C$37)-'Control Panel'!$B$45,0)*'Control Panel'!$C$46),'Control Panel'!$B$37*'Control Panel'!$B$49)</f>
        <v/>
      </c>
      <c r="C8" s="20">
        <f>'Control Panel'!$B$11+$A8*'Control Panel'!$B$10</f>
        <v/>
      </c>
      <c r="D8" s="26">
        <f>IF(B8=0,0,(B8-C8)/B8)</f>
        <v/>
      </c>
      <c r="E8" s="20">
        <f>'Control Panel'!$B$38+MIN((MIN(MAX(0,$A8-'Control Panel'!$C$38),'Control Panel'!$B$43)*'Control Panel'!$C$43+MIN(MAX(MAX(0,$A8-'Control Panel'!$C$38)-'Control Panel'!$B$43,0),'Control Panel'!$B$44-'Control Panel'!$B$43)*'Control Panel'!$C$44+MIN(MAX(MAX(0,$A8-'Control Panel'!$C$38)-'Control Panel'!$B$44,0),'Control Panel'!$B$45-'Control Panel'!$B$44)*'Control Panel'!$C$45+MAX(MAX(0,$A8-'Control Panel'!$C$38)-'Control Panel'!$B$45,0)*'Control Panel'!$C$46),'Control Panel'!$B$38*'Control Panel'!$B$49)</f>
        <v/>
      </c>
      <c r="F8" s="20">
        <f>'Control Panel'!$B$11+$A8*'Control Panel'!$B$10</f>
        <v/>
      </c>
      <c r="G8" s="26">
        <f>IF(E8=0,0,(E8-F8)/E8)</f>
        <v/>
      </c>
      <c r="H8" s="20">
        <f>'Control Panel'!$B$39+MIN((MIN(MAX(0,$A8-'Control Panel'!$C$39),'Control Panel'!$B$43)*'Control Panel'!$C$43+MIN(MAX(MAX(0,$A8-'Control Panel'!$C$39)-'Control Panel'!$B$43,0),'Control Panel'!$B$44-'Control Panel'!$B$43)*'Control Panel'!$C$44+MIN(MAX(MAX(0,$A8-'Control Panel'!$C$39)-'Control Panel'!$B$44,0),'Control Panel'!$B$45-'Control Panel'!$B$44)*'Control Panel'!$C$45+MAX(MAX(0,$A8-'Control Panel'!$C$39)-'Control Panel'!$B$45,0)*'Control Panel'!$C$46),'Control Panel'!$B$39*'Control Panel'!$B$49)</f>
        <v/>
      </c>
      <c r="I8" s="20">
        <f>'Control Panel'!$B$11+$A8*'Control Panel'!$B$10</f>
        <v/>
      </c>
      <c r="J8" s="26">
        <f>IF(H8=0,0,(H8-I8)/H8)</f>
        <v/>
      </c>
    </row>
    <row r="9">
      <c r="A9" s="53" t="n">
        <v>160</v>
      </c>
      <c r="B9" s="20">
        <f>'Control Panel'!$B$37+MIN((MIN(MAX(0,$A9-'Control Panel'!$C$37),'Control Panel'!$B$43)*'Control Panel'!$C$43+MIN(MAX(MAX(0,$A9-'Control Panel'!$C$37)-'Control Panel'!$B$43,0),'Control Panel'!$B$44-'Control Panel'!$B$43)*'Control Panel'!$C$44+MIN(MAX(MAX(0,$A9-'Control Panel'!$C$37)-'Control Panel'!$B$44,0),'Control Panel'!$B$45-'Control Panel'!$B$44)*'Control Panel'!$C$45+MAX(MAX(0,$A9-'Control Panel'!$C$37)-'Control Panel'!$B$45,0)*'Control Panel'!$C$46),'Control Panel'!$B$37*'Control Panel'!$B$49)</f>
        <v/>
      </c>
      <c r="C9" s="20">
        <f>'Control Panel'!$B$11+$A9*'Control Panel'!$B$10</f>
        <v/>
      </c>
      <c r="D9" s="26">
        <f>IF(B9=0,0,(B9-C9)/B9)</f>
        <v/>
      </c>
      <c r="E9" s="20">
        <f>'Control Panel'!$B$38+MIN((MIN(MAX(0,$A9-'Control Panel'!$C$38),'Control Panel'!$B$43)*'Control Panel'!$C$43+MIN(MAX(MAX(0,$A9-'Control Panel'!$C$38)-'Control Panel'!$B$43,0),'Control Panel'!$B$44-'Control Panel'!$B$43)*'Control Panel'!$C$44+MIN(MAX(MAX(0,$A9-'Control Panel'!$C$38)-'Control Panel'!$B$44,0),'Control Panel'!$B$45-'Control Panel'!$B$44)*'Control Panel'!$C$45+MAX(MAX(0,$A9-'Control Panel'!$C$38)-'Control Panel'!$B$45,0)*'Control Panel'!$C$46),'Control Panel'!$B$38*'Control Panel'!$B$49)</f>
        <v/>
      </c>
      <c r="F9" s="20">
        <f>'Control Panel'!$B$11+$A9*'Control Panel'!$B$10</f>
        <v/>
      </c>
      <c r="G9" s="26">
        <f>IF(E9=0,0,(E9-F9)/E9)</f>
        <v/>
      </c>
      <c r="H9" s="20">
        <f>'Control Panel'!$B$39+MIN((MIN(MAX(0,$A9-'Control Panel'!$C$39),'Control Panel'!$B$43)*'Control Panel'!$C$43+MIN(MAX(MAX(0,$A9-'Control Panel'!$C$39)-'Control Panel'!$B$43,0),'Control Panel'!$B$44-'Control Panel'!$B$43)*'Control Panel'!$C$44+MIN(MAX(MAX(0,$A9-'Control Panel'!$C$39)-'Control Panel'!$B$44,0),'Control Panel'!$B$45-'Control Panel'!$B$44)*'Control Panel'!$C$45+MAX(MAX(0,$A9-'Control Panel'!$C$39)-'Control Panel'!$B$45,0)*'Control Panel'!$C$46),'Control Panel'!$B$39*'Control Panel'!$B$49)</f>
        <v/>
      </c>
      <c r="I9" s="20">
        <f>'Control Panel'!$B$11+$A9*'Control Panel'!$B$10</f>
        <v/>
      </c>
      <c r="J9" s="26">
        <f>IF(H9=0,0,(H9-I9)/H9)</f>
        <v/>
      </c>
    </row>
    <row r="10">
      <c r="A10" s="53" t="n">
        <v>240</v>
      </c>
      <c r="B10" s="20">
        <f>'Control Panel'!$B$37+MIN((MIN(MAX(0,$A10-'Control Panel'!$C$37),'Control Panel'!$B$43)*'Control Panel'!$C$43+MIN(MAX(MAX(0,$A10-'Control Panel'!$C$37)-'Control Panel'!$B$43,0),'Control Panel'!$B$44-'Control Panel'!$B$43)*'Control Panel'!$C$44+MIN(MAX(MAX(0,$A10-'Control Panel'!$C$37)-'Control Panel'!$B$44,0),'Control Panel'!$B$45-'Control Panel'!$B$44)*'Control Panel'!$C$45+MAX(MAX(0,$A10-'Control Panel'!$C$37)-'Control Panel'!$B$45,0)*'Control Panel'!$C$46),'Control Panel'!$B$37*'Control Panel'!$B$49)</f>
        <v/>
      </c>
      <c r="C10" s="20">
        <f>'Control Panel'!$B$11+$A10*'Control Panel'!$B$10</f>
        <v/>
      </c>
      <c r="D10" s="26">
        <f>IF(B10=0,0,(B10-C10)/B10)</f>
        <v/>
      </c>
      <c r="E10" s="20">
        <f>'Control Panel'!$B$38+MIN((MIN(MAX(0,$A10-'Control Panel'!$C$38),'Control Panel'!$B$43)*'Control Panel'!$C$43+MIN(MAX(MAX(0,$A10-'Control Panel'!$C$38)-'Control Panel'!$B$43,0),'Control Panel'!$B$44-'Control Panel'!$B$43)*'Control Panel'!$C$44+MIN(MAX(MAX(0,$A10-'Control Panel'!$C$38)-'Control Panel'!$B$44,0),'Control Panel'!$B$45-'Control Panel'!$B$44)*'Control Panel'!$C$45+MAX(MAX(0,$A10-'Control Panel'!$C$38)-'Control Panel'!$B$45,0)*'Control Panel'!$C$46),'Control Panel'!$B$38*'Control Panel'!$B$49)</f>
        <v/>
      </c>
      <c r="F10" s="20">
        <f>'Control Panel'!$B$11+$A10*'Control Panel'!$B$10</f>
        <v/>
      </c>
      <c r="G10" s="26">
        <f>IF(E10=0,0,(E10-F10)/E10)</f>
        <v/>
      </c>
      <c r="H10" s="20">
        <f>'Control Panel'!$B$39+MIN((MIN(MAX(0,$A10-'Control Panel'!$C$39),'Control Panel'!$B$43)*'Control Panel'!$C$43+MIN(MAX(MAX(0,$A10-'Control Panel'!$C$39)-'Control Panel'!$B$43,0),'Control Panel'!$B$44-'Control Panel'!$B$43)*'Control Panel'!$C$44+MIN(MAX(MAX(0,$A10-'Control Panel'!$C$39)-'Control Panel'!$B$44,0),'Control Panel'!$B$45-'Control Panel'!$B$44)*'Control Panel'!$C$45+MAX(MAX(0,$A10-'Control Panel'!$C$39)-'Control Panel'!$B$45,0)*'Control Panel'!$C$46),'Control Panel'!$B$39*'Control Panel'!$B$49)</f>
        <v/>
      </c>
      <c r="I10" s="20">
        <f>'Control Panel'!$B$11+$A10*'Control Panel'!$B$10</f>
        <v/>
      </c>
      <c r="J10" s="26">
        <f>IF(H10=0,0,(H10-I10)/H10)</f>
        <v/>
      </c>
    </row>
    <row r="11">
      <c r="A11" s="53" t="n">
        <v>320</v>
      </c>
      <c r="B11" s="20">
        <f>'Control Panel'!$B$37+MIN((MIN(MAX(0,$A11-'Control Panel'!$C$37),'Control Panel'!$B$43)*'Control Panel'!$C$43+MIN(MAX(MAX(0,$A11-'Control Panel'!$C$37)-'Control Panel'!$B$43,0),'Control Panel'!$B$44-'Control Panel'!$B$43)*'Control Panel'!$C$44+MIN(MAX(MAX(0,$A11-'Control Panel'!$C$37)-'Control Panel'!$B$44,0),'Control Panel'!$B$45-'Control Panel'!$B$44)*'Control Panel'!$C$45+MAX(MAX(0,$A11-'Control Panel'!$C$37)-'Control Panel'!$B$45,0)*'Control Panel'!$C$46),'Control Panel'!$B$37*'Control Panel'!$B$49)</f>
        <v/>
      </c>
      <c r="C11" s="20">
        <f>'Control Panel'!$B$11+$A11*'Control Panel'!$B$10</f>
        <v/>
      </c>
      <c r="D11" s="26">
        <f>IF(B11=0,0,(B11-C11)/B11)</f>
        <v/>
      </c>
      <c r="E11" s="20">
        <f>'Control Panel'!$B$38+MIN((MIN(MAX(0,$A11-'Control Panel'!$C$38),'Control Panel'!$B$43)*'Control Panel'!$C$43+MIN(MAX(MAX(0,$A11-'Control Panel'!$C$38)-'Control Panel'!$B$43,0),'Control Panel'!$B$44-'Control Panel'!$B$43)*'Control Panel'!$C$44+MIN(MAX(MAX(0,$A11-'Control Panel'!$C$38)-'Control Panel'!$B$44,0),'Control Panel'!$B$45-'Control Panel'!$B$44)*'Control Panel'!$C$45+MAX(MAX(0,$A11-'Control Panel'!$C$38)-'Control Panel'!$B$45,0)*'Control Panel'!$C$46),'Control Panel'!$B$38*'Control Panel'!$B$49)</f>
        <v/>
      </c>
      <c r="F11" s="20">
        <f>'Control Panel'!$B$11+$A11*'Control Panel'!$B$10</f>
        <v/>
      </c>
      <c r="G11" s="26">
        <f>IF(E11=0,0,(E11-F11)/E11)</f>
        <v/>
      </c>
      <c r="H11" s="20">
        <f>'Control Panel'!$B$39+MIN((MIN(MAX(0,$A11-'Control Panel'!$C$39),'Control Panel'!$B$43)*'Control Panel'!$C$43+MIN(MAX(MAX(0,$A11-'Control Panel'!$C$39)-'Control Panel'!$B$43,0),'Control Panel'!$B$44-'Control Panel'!$B$43)*'Control Panel'!$C$44+MIN(MAX(MAX(0,$A11-'Control Panel'!$C$39)-'Control Panel'!$B$44,0),'Control Panel'!$B$45-'Control Panel'!$B$44)*'Control Panel'!$C$45+MAX(MAX(0,$A11-'Control Panel'!$C$39)-'Control Panel'!$B$45,0)*'Control Panel'!$C$46),'Control Panel'!$B$39*'Control Panel'!$B$49)</f>
        <v/>
      </c>
      <c r="I11" s="20">
        <f>'Control Panel'!$B$11+$A11*'Control Panel'!$B$10</f>
        <v/>
      </c>
      <c r="J11" s="26">
        <f>IF(H11=0,0,(H11-I11)/H11)</f>
        <v/>
      </c>
    </row>
    <row r="12">
      <c r="A12" s="53" t="n">
        <v>400</v>
      </c>
      <c r="B12" s="20">
        <f>'Control Panel'!$B$37+MIN((MIN(MAX(0,$A12-'Control Panel'!$C$37),'Control Panel'!$B$43)*'Control Panel'!$C$43+MIN(MAX(MAX(0,$A12-'Control Panel'!$C$37)-'Control Panel'!$B$43,0),'Control Panel'!$B$44-'Control Panel'!$B$43)*'Control Panel'!$C$44+MIN(MAX(MAX(0,$A12-'Control Panel'!$C$37)-'Control Panel'!$B$44,0),'Control Panel'!$B$45-'Control Panel'!$B$44)*'Control Panel'!$C$45+MAX(MAX(0,$A12-'Control Panel'!$C$37)-'Control Panel'!$B$45,0)*'Control Panel'!$C$46),'Control Panel'!$B$37*'Control Panel'!$B$49)</f>
        <v/>
      </c>
      <c r="C12" s="20">
        <f>'Control Panel'!$B$11+$A12*'Control Panel'!$B$10</f>
        <v/>
      </c>
      <c r="D12" s="26">
        <f>IF(B12=0,0,(B12-C12)/B12)</f>
        <v/>
      </c>
      <c r="E12" s="20">
        <f>'Control Panel'!$B$38+MIN((MIN(MAX(0,$A12-'Control Panel'!$C$38),'Control Panel'!$B$43)*'Control Panel'!$C$43+MIN(MAX(MAX(0,$A12-'Control Panel'!$C$38)-'Control Panel'!$B$43,0),'Control Panel'!$B$44-'Control Panel'!$B$43)*'Control Panel'!$C$44+MIN(MAX(MAX(0,$A12-'Control Panel'!$C$38)-'Control Panel'!$B$44,0),'Control Panel'!$B$45-'Control Panel'!$B$44)*'Control Panel'!$C$45+MAX(MAX(0,$A12-'Control Panel'!$C$38)-'Control Panel'!$B$45,0)*'Control Panel'!$C$46),'Control Panel'!$B$38*'Control Panel'!$B$49)</f>
        <v/>
      </c>
      <c r="F12" s="20">
        <f>'Control Panel'!$B$11+$A12*'Control Panel'!$B$10</f>
        <v/>
      </c>
      <c r="G12" s="26">
        <f>IF(E12=0,0,(E12-F12)/E12)</f>
        <v/>
      </c>
      <c r="H12" s="20">
        <f>'Control Panel'!$B$39+MIN((MIN(MAX(0,$A12-'Control Panel'!$C$39),'Control Panel'!$B$43)*'Control Panel'!$C$43+MIN(MAX(MAX(0,$A12-'Control Panel'!$C$39)-'Control Panel'!$B$43,0),'Control Panel'!$B$44-'Control Panel'!$B$43)*'Control Panel'!$C$44+MIN(MAX(MAX(0,$A12-'Control Panel'!$C$39)-'Control Panel'!$B$44,0),'Control Panel'!$B$45-'Control Panel'!$B$44)*'Control Panel'!$C$45+MAX(MAX(0,$A12-'Control Panel'!$C$39)-'Control Panel'!$B$45,0)*'Control Panel'!$C$46),'Control Panel'!$B$39*'Control Panel'!$B$49)</f>
        <v/>
      </c>
      <c r="I12" s="20">
        <f>'Control Panel'!$B$11+$A12*'Control Panel'!$B$10</f>
        <v/>
      </c>
      <c r="J12" s="26">
        <f>IF(H12=0,0,(H12-I12)/H12)</f>
        <v/>
      </c>
    </row>
    <row r="13">
      <c r="A13" s="53" t="n">
        <v>480</v>
      </c>
      <c r="B13" s="20">
        <f>'Control Panel'!$B$37+MIN((MIN(MAX(0,$A13-'Control Panel'!$C$37),'Control Panel'!$B$43)*'Control Panel'!$C$43+MIN(MAX(MAX(0,$A13-'Control Panel'!$C$37)-'Control Panel'!$B$43,0),'Control Panel'!$B$44-'Control Panel'!$B$43)*'Control Panel'!$C$44+MIN(MAX(MAX(0,$A13-'Control Panel'!$C$37)-'Control Panel'!$B$44,0),'Control Panel'!$B$45-'Control Panel'!$B$44)*'Control Panel'!$C$45+MAX(MAX(0,$A13-'Control Panel'!$C$37)-'Control Panel'!$B$45,0)*'Control Panel'!$C$46),'Control Panel'!$B$37*'Control Panel'!$B$49)</f>
        <v/>
      </c>
      <c r="C13" s="20">
        <f>'Control Panel'!$B$11+$A13*'Control Panel'!$B$10</f>
        <v/>
      </c>
      <c r="D13" s="26">
        <f>IF(B13=0,0,(B13-C13)/B13)</f>
        <v/>
      </c>
      <c r="E13" s="20">
        <f>'Control Panel'!$B$38+MIN((MIN(MAX(0,$A13-'Control Panel'!$C$38),'Control Panel'!$B$43)*'Control Panel'!$C$43+MIN(MAX(MAX(0,$A13-'Control Panel'!$C$38)-'Control Panel'!$B$43,0),'Control Panel'!$B$44-'Control Panel'!$B$43)*'Control Panel'!$C$44+MIN(MAX(MAX(0,$A13-'Control Panel'!$C$38)-'Control Panel'!$B$44,0),'Control Panel'!$B$45-'Control Panel'!$B$44)*'Control Panel'!$C$45+MAX(MAX(0,$A13-'Control Panel'!$C$38)-'Control Panel'!$B$45,0)*'Control Panel'!$C$46),'Control Panel'!$B$38*'Control Panel'!$B$49)</f>
        <v/>
      </c>
      <c r="F13" s="20">
        <f>'Control Panel'!$B$11+$A13*'Control Panel'!$B$10</f>
        <v/>
      </c>
      <c r="G13" s="26">
        <f>IF(E13=0,0,(E13-F13)/E13)</f>
        <v/>
      </c>
      <c r="H13" s="20">
        <f>'Control Panel'!$B$39+MIN((MIN(MAX(0,$A13-'Control Panel'!$C$39),'Control Panel'!$B$43)*'Control Panel'!$C$43+MIN(MAX(MAX(0,$A13-'Control Panel'!$C$39)-'Control Panel'!$B$43,0),'Control Panel'!$B$44-'Control Panel'!$B$43)*'Control Panel'!$C$44+MIN(MAX(MAX(0,$A13-'Control Panel'!$C$39)-'Control Panel'!$B$44,0),'Control Panel'!$B$45-'Control Panel'!$B$44)*'Control Panel'!$C$45+MAX(MAX(0,$A13-'Control Panel'!$C$39)-'Control Panel'!$B$45,0)*'Control Panel'!$C$46),'Control Panel'!$B$39*'Control Panel'!$B$49)</f>
        <v/>
      </c>
      <c r="I13" s="20">
        <f>'Control Panel'!$B$11+$A13*'Control Panel'!$B$10</f>
        <v/>
      </c>
      <c r="J13" s="26">
        <f>IF(H13=0,0,(H13-I13)/H13)</f>
        <v/>
      </c>
    </row>
    <row r="14">
      <c r="A14" s="53" t="n">
        <v>560</v>
      </c>
      <c r="B14" s="20">
        <f>'Control Panel'!$B$37+MIN((MIN(MAX(0,$A14-'Control Panel'!$C$37),'Control Panel'!$B$43)*'Control Panel'!$C$43+MIN(MAX(MAX(0,$A14-'Control Panel'!$C$37)-'Control Panel'!$B$43,0),'Control Panel'!$B$44-'Control Panel'!$B$43)*'Control Panel'!$C$44+MIN(MAX(MAX(0,$A14-'Control Panel'!$C$37)-'Control Panel'!$B$44,0),'Control Panel'!$B$45-'Control Panel'!$B$44)*'Control Panel'!$C$45+MAX(MAX(0,$A14-'Control Panel'!$C$37)-'Control Panel'!$B$45,0)*'Control Panel'!$C$46),'Control Panel'!$B$37*'Control Panel'!$B$49)</f>
        <v/>
      </c>
      <c r="C14" s="20">
        <f>'Control Panel'!$B$11+$A14*'Control Panel'!$B$10</f>
        <v/>
      </c>
      <c r="D14" s="26">
        <f>IF(B14=0,0,(B14-C14)/B14)</f>
        <v/>
      </c>
      <c r="E14" s="20">
        <f>'Control Panel'!$B$38+MIN((MIN(MAX(0,$A14-'Control Panel'!$C$38),'Control Panel'!$B$43)*'Control Panel'!$C$43+MIN(MAX(MAX(0,$A14-'Control Panel'!$C$38)-'Control Panel'!$B$43,0),'Control Panel'!$B$44-'Control Panel'!$B$43)*'Control Panel'!$C$44+MIN(MAX(MAX(0,$A14-'Control Panel'!$C$38)-'Control Panel'!$B$44,0),'Control Panel'!$B$45-'Control Panel'!$B$44)*'Control Panel'!$C$45+MAX(MAX(0,$A14-'Control Panel'!$C$38)-'Control Panel'!$B$45,0)*'Control Panel'!$C$46),'Control Panel'!$B$38*'Control Panel'!$B$49)</f>
        <v/>
      </c>
      <c r="F14" s="20">
        <f>'Control Panel'!$B$11+$A14*'Control Panel'!$B$10</f>
        <v/>
      </c>
      <c r="G14" s="26">
        <f>IF(E14=0,0,(E14-F14)/E14)</f>
        <v/>
      </c>
      <c r="H14" s="20">
        <f>'Control Panel'!$B$39+MIN((MIN(MAX(0,$A14-'Control Panel'!$C$39),'Control Panel'!$B$43)*'Control Panel'!$C$43+MIN(MAX(MAX(0,$A14-'Control Panel'!$C$39)-'Control Panel'!$B$43,0),'Control Panel'!$B$44-'Control Panel'!$B$43)*'Control Panel'!$C$44+MIN(MAX(MAX(0,$A14-'Control Panel'!$C$39)-'Control Panel'!$B$44,0),'Control Panel'!$B$45-'Control Panel'!$B$44)*'Control Panel'!$C$45+MAX(MAX(0,$A14-'Control Panel'!$C$39)-'Control Panel'!$B$45,0)*'Control Panel'!$C$46),'Control Panel'!$B$39*'Control Panel'!$B$49)</f>
        <v/>
      </c>
      <c r="I14" s="20">
        <f>'Control Panel'!$B$11+$A14*'Control Panel'!$B$10</f>
        <v/>
      </c>
      <c r="J14" s="26">
        <f>IF(H14=0,0,(H14-I14)/H14)</f>
        <v/>
      </c>
    </row>
    <row r="15">
      <c r="A15" s="53" t="n">
        <v>640</v>
      </c>
      <c r="B15" s="20">
        <f>'Control Panel'!$B$37+MIN((MIN(MAX(0,$A15-'Control Panel'!$C$37),'Control Panel'!$B$43)*'Control Panel'!$C$43+MIN(MAX(MAX(0,$A15-'Control Panel'!$C$37)-'Control Panel'!$B$43,0),'Control Panel'!$B$44-'Control Panel'!$B$43)*'Control Panel'!$C$44+MIN(MAX(MAX(0,$A15-'Control Panel'!$C$37)-'Control Panel'!$B$44,0),'Control Panel'!$B$45-'Control Panel'!$B$44)*'Control Panel'!$C$45+MAX(MAX(0,$A15-'Control Panel'!$C$37)-'Control Panel'!$B$45,0)*'Control Panel'!$C$46),'Control Panel'!$B$37*'Control Panel'!$B$49)</f>
        <v/>
      </c>
      <c r="C15" s="20">
        <f>'Control Panel'!$B$11+$A15*'Control Panel'!$B$10</f>
        <v/>
      </c>
      <c r="D15" s="26">
        <f>IF(B15=0,0,(B15-C15)/B15)</f>
        <v/>
      </c>
      <c r="E15" s="20">
        <f>'Control Panel'!$B$38+MIN((MIN(MAX(0,$A15-'Control Panel'!$C$38),'Control Panel'!$B$43)*'Control Panel'!$C$43+MIN(MAX(MAX(0,$A15-'Control Panel'!$C$38)-'Control Panel'!$B$43,0),'Control Panel'!$B$44-'Control Panel'!$B$43)*'Control Panel'!$C$44+MIN(MAX(MAX(0,$A15-'Control Panel'!$C$38)-'Control Panel'!$B$44,0),'Control Panel'!$B$45-'Control Panel'!$B$44)*'Control Panel'!$C$45+MAX(MAX(0,$A15-'Control Panel'!$C$38)-'Control Panel'!$B$45,0)*'Control Panel'!$C$46),'Control Panel'!$B$38*'Control Panel'!$B$49)</f>
        <v/>
      </c>
      <c r="F15" s="20">
        <f>'Control Panel'!$B$11+$A15*'Control Panel'!$B$10</f>
        <v/>
      </c>
      <c r="G15" s="26">
        <f>IF(E15=0,0,(E15-F15)/E15)</f>
        <v/>
      </c>
      <c r="H15" s="20">
        <f>'Control Panel'!$B$39+MIN((MIN(MAX(0,$A15-'Control Panel'!$C$39),'Control Panel'!$B$43)*'Control Panel'!$C$43+MIN(MAX(MAX(0,$A15-'Control Panel'!$C$39)-'Control Panel'!$B$43,0),'Control Panel'!$B$44-'Control Panel'!$B$43)*'Control Panel'!$C$44+MIN(MAX(MAX(0,$A15-'Control Panel'!$C$39)-'Control Panel'!$B$44,0),'Control Panel'!$B$45-'Control Panel'!$B$44)*'Control Panel'!$C$45+MAX(MAX(0,$A15-'Control Panel'!$C$39)-'Control Panel'!$B$45,0)*'Control Panel'!$C$46),'Control Panel'!$B$39*'Control Panel'!$B$49)</f>
        <v/>
      </c>
      <c r="I15" s="20">
        <f>'Control Panel'!$B$11+$A15*'Control Panel'!$B$10</f>
        <v/>
      </c>
      <c r="J15" s="26">
        <f>IF(H15=0,0,(H15-I15)/H15)</f>
        <v/>
      </c>
    </row>
    <row r="16">
      <c r="A16" s="53" t="n">
        <v>720</v>
      </c>
      <c r="B16" s="20">
        <f>'Control Panel'!$B$37+MIN((MIN(MAX(0,$A16-'Control Panel'!$C$37),'Control Panel'!$B$43)*'Control Panel'!$C$43+MIN(MAX(MAX(0,$A16-'Control Panel'!$C$37)-'Control Panel'!$B$43,0),'Control Panel'!$B$44-'Control Panel'!$B$43)*'Control Panel'!$C$44+MIN(MAX(MAX(0,$A16-'Control Panel'!$C$37)-'Control Panel'!$B$44,0),'Control Panel'!$B$45-'Control Panel'!$B$44)*'Control Panel'!$C$45+MAX(MAX(0,$A16-'Control Panel'!$C$37)-'Control Panel'!$B$45,0)*'Control Panel'!$C$46),'Control Panel'!$B$37*'Control Panel'!$B$49)</f>
        <v/>
      </c>
      <c r="C16" s="20">
        <f>'Control Panel'!$B$11+$A16*'Control Panel'!$B$10</f>
        <v/>
      </c>
      <c r="D16" s="26">
        <f>IF(B16=0,0,(B16-C16)/B16)</f>
        <v/>
      </c>
      <c r="E16" s="20">
        <f>'Control Panel'!$B$38+MIN((MIN(MAX(0,$A16-'Control Panel'!$C$38),'Control Panel'!$B$43)*'Control Panel'!$C$43+MIN(MAX(MAX(0,$A16-'Control Panel'!$C$38)-'Control Panel'!$B$43,0),'Control Panel'!$B$44-'Control Panel'!$B$43)*'Control Panel'!$C$44+MIN(MAX(MAX(0,$A16-'Control Panel'!$C$38)-'Control Panel'!$B$44,0),'Control Panel'!$B$45-'Control Panel'!$B$44)*'Control Panel'!$C$45+MAX(MAX(0,$A16-'Control Panel'!$C$38)-'Control Panel'!$B$45,0)*'Control Panel'!$C$46),'Control Panel'!$B$38*'Control Panel'!$B$49)</f>
        <v/>
      </c>
      <c r="F16" s="20">
        <f>'Control Panel'!$B$11+$A16*'Control Panel'!$B$10</f>
        <v/>
      </c>
      <c r="G16" s="26">
        <f>IF(E16=0,0,(E16-F16)/E16)</f>
        <v/>
      </c>
      <c r="H16" s="20">
        <f>'Control Panel'!$B$39+MIN((MIN(MAX(0,$A16-'Control Panel'!$C$39),'Control Panel'!$B$43)*'Control Panel'!$C$43+MIN(MAX(MAX(0,$A16-'Control Panel'!$C$39)-'Control Panel'!$B$43,0),'Control Panel'!$B$44-'Control Panel'!$B$43)*'Control Panel'!$C$44+MIN(MAX(MAX(0,$A16-'Control Panel'!$C$39)-'Control Panel'!$B$44,0),'Control Panel'!$B$45-'Control Panel'!$B$44)*'Control Panel'!$C$45+MAX(MAX(0,$A16-'Control Panel'!$C$39)-'Control Panel'!$B$45,0)*'Control Panel'!$C$46),'Control Panel'!$B$39*'Control Panel'!$B$49)</f>
        <v/>
      </c>
      <c r="I16" s="20">
        <f>'Control Panel'!$B$11+$A16*'Control Panel'!$B$10</f>
        <v/>
      </c>
      <c r="J16" s="26">
        <f>IF(H16=0,0,(H16-I16)/H16)</f>
        <v/>
      </c>
    </row>
    <row r="17">
      <c r="A17" s="53" t="n">
        <v>800</v>
      </c>
      <c r="B17" s="20">
        <f>'Control Panel'!$B$37+MIN((MIN(MAX(0,$A17-'Control Panel'!$C$37),'Control Panel'!$B$43)*'Control Panel'!$C$43+MIN(MAX(MAX(0,$A17-'Control Panel'!$C$37)-'Control Panel'!$B$43,0),'Control Panel'!$B$44-'Control Panel'!$B$43)*'Control Panel'!$C$44+MIN(MAX(MAX(0,$A17-'Control Panel'!$C$37)-'Control Panel'!$B$44,0),'Control Panel'!$B$45-'Control Panel'!$B$44)*'Control Panel'!$C$45+MAX(MAX(0,$A17-'Control Panel'!$C$37)-'Control Panel'!$B$45,0)*'Control Panel'!$C$46),'Control Panel'!$B$37*'Control Panel'!$B$49)</f>
        <v/>
      </c>
      <c r="C17" s="20">
        <f>'Control Panel'!$B$11+$A17*'Control Panel'!$B$10</f>
        <v/>
      </c>
      <c r="D17" s="26">
        <f>IF(B17=0,0,(B17-C17)/B17)</f>
        <v/>
      </c>
      <c r="E17" s="20">
        <f>'Control Panel'!$B$38+MIN((MIN(MAX(0,$A17-'Control Panel'!$C$38),'Control Panel'!$B$43)*'Control Panel'!$C$43+MIN(MAX(MAX(0,$A17-'Control Panel'!$C$38)-'Control Panel'!$B$43,0),'Control Panel'!$B$44-'Control Panel'!$B$43)*'Control Panel'!$C$44+MIN(MAX(MAX(0,$A17-'Control Panel'!$C$38)-'Control Panel'!$B$44,0),'Control Panel'!$B$45-'Control Panel'!$B$44)*'Control Panel'!$C$45+MAX(MAX(0,$A17-'Control Panel'!$C$38)-'Control Panel'!$B$45,0)*'Control Panel'!$C$46),'Control Panel'!$B$38*'Control Panel'!$B$49)</f>
        <v/>
      </c>
      <c r="F17" s="20">
        <f>'Control Panel'!$B$11+$A17*'Control Panel'!$B$10</f>
        <v/>
      </c>
      <c r="G17" s="26">
        <f>IF(E17=0,0,(E17-F17)/E17)</f>
        <v/>
      </c>
      <c r="H17" s="20">
        <f>'Control Panel'!$B$39+MIN((MIN(MAX(0,$A17-'Control Panel'!$C$39),'Control Panel'!$B$43)*'Control Panel'!$C$43+MIN(MAX(MAX(0,$A17-'Control Panel'!$C$39)-'Control Panel'!$B$43,0),'Control Panel'!$B$44-'Control Panel'!$B$43)*'Control Panel'!$C$44+MIN(MAX(MAX(0,$A17-'Control Panel'!$C$39)-'Control Panel'!$B$44,0),'Control Panel'!$B$45-'Control Panel'!$B$44)*'Control Panel'!$C$45+MAX(MAX(0,$A17-'Control Panel'!$C$39)-'Control Panel'!$B$45,0)*'Control Panel'!$C$46),'Control Panel'!$B$39*'Control Panel'!$B$49)</f>
        <v/>
      </c>
      <c r="I17" s="20">
        <f>'Control Panel'!$B$11+$A17*'Control Panel'!$B$10</f>
        <v/>
      </c>
      <c r="J17" s="26">
        <f>IF(H17=0,0,(H17-I17)/H17)</f>
        <v/>
      </c>
    </row>
    <row r="18">
      <c r="A18" s="53" t="n">
        <v>880</v>
      </c>
      <c r="B18" s="20">
        <f>'Control Panel'!$B$37+MIN((MIN(MAX(0,$A18-'Control Panel'!$C$37),'Control Panel'!$B$43)*'Control Panel'!$C$43+MIN(MAX(MAX(0,$A18-'Control Panel'!$C$37)-'Control Panel'!$B$43,0),'Control Panel'!$B$44-'Control Panel'!$B$43)*'Control Panel'!$C$44+MIN(MAX(MAX(0,$A18-'Control Panel'!$C$37)-'Control Panel'!$B$44,0),'Control Panel'!$B$45-'Control Panel'!$B$44)*'Control Panel'!$C$45+MAX(MAX(0,$A18-'Control Panel'!$C$37)-'Control Panel'!$B$45,0)*'Control Panel'!$C$46),'Control Panel'!$B$37*'Control Panel'!$B$49)</f>
        <v/>
      </c>
      <c r="C18" s="20">
        <f>'Control Panel'!$B$11+$A18*'Control Panel'!$B$10</f>
        <v/>
      </c>
      <c r="D18" s="26">
        <f>IF(B18=0,0,(B18-C18)/B18)</f>
        <v/>
      </c>
      <c r="E18" s="20">
        <f>'Control Panel'!$B$38+MIN((MIN(MAX(0,$A18-'Control Panel'!$C$38),'Control Panel'!$B$43)*'Control Panel'!$C$43+MIN(MAX(MAX(0,$A18-'Control Panel'!$C$38)-'Control Panel'!$B$43,0),'Control Panel'!$B$44-'Control Panel'!$B$43)*'Control Panel'!$C$44+MIN(MAX(MAX(0,$A18-'Control Panel'!$C$38)-'Control Panel'!$B$44,0),'Control Panel'!$B$45-'Control Panel'!$B$44)*'Control Panel'!$C$45+MAX(MAX(0,$A18-'Control Panel'!$C$38)-'Control Panel'!$B$45,0)*'Control Panel'!$C$46),'Control Panel'!$B$38*'Control Panel'!$B$49)</f>
        <v/>
      </c>
      <c r="F18" s="20">
        <f>'Control Panel'!$B$11+$A18*'Control Panel'!$B$10</f>
        <v/>
      </c>
      <c r="G18" s="26">
        <f>IF(E18=0,0,(E18-F18)/E18)</f>
        <v/>
      </c>
      <c r="H18" s="20">
        <f>'Control Panel'!$B$39+MIN((MIN(MAX(0,$A18-'Control Panel'!$C$39),'Control Panel'!$B$43)*'Control Panel'!$C$43+MIN(MAX(MAX(0,$A18-'Control Panel'!$C$39)-'Control Panel'!$B$43,0),'Control Panel'!$B$44-'Control Panel'!$B$43)*'Control Panel'!$C$44+MIN(MAX(MAX(0,$A18-'Control Panel'!$C$39)-'Control Panel'!$B$44,0),'Control Panel'!$B$45-'Control Panel'!$B$44)*'Control Panel'!$C$45+MAX(MAX(0,$A18-'Control Panel'!$C$39)-'Control Panel'!$B$45,0)*'Control Panel'!$C$46),'Control Panel'!$B$39*'Control Panel'!$B$49)</f>
        <v/>
      </c>
      <c r="I18" s="20">
        <f>'Control Panel'!$B$11+$A18*'Control Panel'!$B$10</f>
        <v/>
      </c>
      <c r="J18" s="26">
        <f>IF(H18=0,0,(H18-I18)/H18)</f>
        <v/>
      </c>
    </row>
    <row r="19">
      <c r="A19" s="53" t="n">
        <v>960</v>
      </c>
      <c r="B19" s="20">
        <f>'Control Panel'!$B$37+MIN((MIN(MAX(0,$A19-'Control Panel'!$C$37),'Control Panel'!$B$43)*'Control Panel'!$C$43+MIN(MAX(MAX(0,$A19-'Control Panel'!$C$37)-'Control Panel'!$B$43,0),'Control Panel'!$B$44-'Control Panel'!$B$43)*'Control Panel'!$C$44+MIN(MAX(MAX(0,$A19-'Control Panel'!$C$37)-'Control Panel'!$B$44,0),'Control Panel'!$B$45-'Control Panel'!$B$44)*'Control Panel'!$C$45+MAX(MAX(0,$A19-'Control Panel'!$C$37)-'Control Panel'!$B$45,0)*'Control Panel'!$C$46),'Control Panel'!$B$37*'Control Panel'!$B$49)</f>
        <v/>
      </c>
      <c r="C19" s="20">
        <f>'Control Panel'!$B$11+$A19*'Control Panel'!$B$10</f>
        <v/>
      </c>
      <c r="D19" s="26">
        <f>IF(B19=0,0,(B19-C19)/B19)</f>
        <v/>
      </c>
      <c r="E19" s="20">
        <f>'Control Panel'!$B$38+MIN((MIN(MAX(0,$A19-'Control Panel'!$C$38),'Control Panel'!$B$43)*'Control Panel'!$C$43+MIN(MAX(MAX(0,$A19-'Control Panel'!$C$38)-'Control Panel'!$B$43,0),'Control Panel'!$B$44-'Control Panel'!$B$43)*'Control Panel'!$C$44+MIN(MAX(MAX(0,$A19-'Control Panel'!$C$38)-'Control Panel'!$B$44,0),'Control Panel'!$B$45-'Control Panel'!$B$44)*'Control Panel'!$C$45+MAX(MAX(0,$A19-'Control Panel'!$C$38)-'Control Panel'!$B$45,0)*'Control Panel'!$C$46),'Control Panel'!$B$38*'Control Panel'!$B$49)</f>
        <v/>
      </c>
      <c r="F19" s="20">
        <f>'Control Panel'!$B$11+$A19*'Control Panel'!$B$10</f>
        <v/>
      </c>
      <c r="G19" s="26">
        <f>IF(E19=0,0,(E19-F19)/E19)</f>
        <v/>
      </c>
      <c r="H19" s="20">
        <f>'Control Panel'!$B$39+MIN((MIN(MAX(0,$A19-'Control Panel'!$C$39),'Control Panel'!$B$43)*'Control Panel'!$C$43+MIN(MAX(MAX(0,$A19-'Control Panel'!$C$39)-'Control Panel'!$B$43,0),'Control Panel'!$B$44-'Control Panel'!$B$43)*'Control Panel'!$C$44+MIN(MAX(MAX(0,$A19-'Control Panel'!$C$39)-'Control Panel'!$B$44,0),'Control Panel'!$B$45-'Control Panel'!$B$44)*'Control Panel'!$C$45+MAX(MAX(0,$A19-'Control Panel'!$C$39)-'Control Panel'!$B$45,0)*'Control Panel'!$C$46),'Control Panel'!$B$39*'Control Panel'!$B$49)</f>
        <v/>
      </c>
      <c r="I19" s="20">
        <f>'Control Panel'!$B$11+$A19*'Control Panel'!$B$10</f>
        <v/>
      </c>
      <c r="J19" s="26">
        <f>IF(H19=0,0,(H19-I19)/H19)</f>
        <v/>
      </c>
    </row>
    <row r="20">
      <c r="A20" s="53" t="n">
        <v>1040</v>
      </c>
      <c r="B20" s="20">
        <f>'Control Panel'!$B$37+MIN((MIN(MAX(0,$A20-'Control Panel'!$C$37),'Control Panel'!$B$43)*'Control Panel'!$C$43+MIN(MAX(MAX(0,$A20-'Control Panel'!$C$37)-'Control Panel'!$B$43,0),'Control Panel'!$B$44-'Control Panel'!$B$43)*'Control Panel'!$C$44+MIN(MAX(MAX(0,$A20-'Control Panel'!$C$37)-'Control Panel'!$B$44,0),'Control Panel'!$B$45-'Control Panel'!$B$44)*'Control Panel'!$C$45+MAX(MAX(0,$A20-'Control Panel'!$C$37)-'Control Panel'!$B$45,0)*'Control Panel'!$C$46),'Control Panel'!$B$37*'Control Panel'!$B$49)</f>
        <v/>
      </c>
      <c r="C20" s="20">
        <f>'Control Panel'!$B$11+$A20*'Control Panel'!$B$10</f>
        <v/>
      </c>
      <c r="D20" s="26">
        <f>IF(B20=0,0,(B20-C20)/B20)</f>
        <v/>
      </c>
      <c r="E20" s="20">
        <f>'Control Panel'!$B$38+MIN((MIN(MAX(0,$A20-'Control Panel'!$C$38),'Control Panel'!$B$43)*'Control Panel'!$C$43+MIN(MAX(MAX(0,$A20-'Control Panel'!$C$38)-'Control Panel'!$B$43,0),'Control Panel'!$B$44-'Control Panel'!$B$43)*'Control Panel'!$C$44+MIN(MAX(MAX(0,$A20-'Control Panel'!$C$38)-'Control Panel'!$B$44,0),'Control Panel'!$B$45-'Control Panel'!$B$44)*'Control Panel'!$C$45+MAX(MAX(0,$A20-'Control Panel'!$C$38)-'Control Panel'!$B$45,0)*'Control Panel'!$C$46),'Control Panel'!$B$38*'Control Panel'!$B$49)</f>
        <v/>
      </c>
      <c r="F20" s="20">
        <f>'Control Panel'!$B$11+$A20*'Control Panel'!$B$10</f>
        <v/>
      </c>
      <c r="G20" s="26">
        <f>IF(E20=0,0,(E20-F20)/E20)</f>
        <v/>
      </c>
      <c r="H20" s="20">
        <f>'Control Panel'!$B$39+MIN((MIN(MAX(0,$A20-'Control Panel'!$C$39),'Control Panel'!$B$43)*'Control Panel'!$C$43+MIN(MAX(MAX(0,$A20-'Control Panel'!$C$39)-'Control Panel'!$B$43,0),'Control Panel'!$B$44-'Control Panel'!$B$43)*'Control Panel'!$C$44+MIN(MAX(MAX(0,$A20-'Control Panel'!$C$39)-'Control Panel'!$B$44,0),'Control Panel'!$B$45-'Control Panel'!$B$44)*'Control Panel'!$C$45+MAX(MAX(0,$A20-'Control Panel'!$C$39)-'Control Panel'!$B$45,0)*'Control Panel'!$C$46),'Control Panel'!$B$39*'Control Panel'!$B$49)</f>
        <v/>
      </c>
      <c r="I20" s="20">
        <f>'Control Panel'!$B$11+$A20*'Control Panel'!$B$10</f>
        <v/>
      </c>
      <c r="J20" s="26">
        <f>IF(H20=0,0,(H20-I20)/H20)</f>
        <v/>
      </c>
    </row>
    <row r="21">
      <c r="A21" s="53" t="n">
        <v>1120</v>
      </c>
      <c r="B21" s="20">
        <f>'Control Panel'!$B$37+MIN((MIN(MAX(0,$A21-'Control Panel'!$C$37),'Control Panel'!$B$43)*'Control Panel'!$C$43+MIN(MAX(MAX(0,$A21-'Control Panel'!$C$37)-'Control Panel'!$B$43,0),'Control Panel'!$B$44-'Control Panel'!$B$43)*'Control Panel'!$C$44+MIN(MAX(MAX(0,$A21-'Control Panel'!$C$37)-'Control Panel'!$B$44,0),'Control Panel'!$B$45-'Control Panel'!$B$44)*'Control Panel'!$C$45+MAX(MAX(0,$A21-'Control Panel'!$C$37)-'Control Panel'!$B$45,0)*'Control Panel'!$C$46),'Control Panel'!$B$37*'Control Panel'!$B$49)</f>
        <v/>
      </c>
      <c r="C21" s="20">
        <f>'Control Panel'!$B$11+$A21*'Control Panel'!$B$10</f>
        <v/>
      </c>
      <c r="D21" s="26">
        <f>IF(B21=0,0,(B21-C21)/B21)</f>
        <v/>
      </c>
      <c r="E21" s="20">
        <f>'Control Panel'!$B$38+MIN((MIN(MAX(0,$A21-'Control Panel'!$C$38),'Control Panel'!$B$43)*'Control Panel'!$C$43+MIN(MAX(MAX(0,$A21-'Control Panel'!$C$38)-'Control Panel'!$B$43,0),'Control Panel'!$B$44-'Control Panel'!$B$43)*'Control Panel'!$C$44+MIN(MAX(MAX(0,$A21-'Control Panel'!$C$38)-'Control Panel'!$B$44,0),'Control Panel'!$B$45-'Control Panel'!$B$44)*'Control Panel'!$C$45+MAX(MAX(0,$A21-'Control Panel'!$C$38)-'Control Panel'!$B$45,0)*'Control Panel'!$C$46),'Control Panel'!$B$38*'Control Panel'!$B$49)</f>
        <v/>
      </c>
      <c r="F21" s="20">
        <f>'Control Panel'!$B$11+$A21*'Control Panel'!$B$10</f>
        <v/>
      </c>
      <c r="G21" s="26">
        <f>IF(E21=0,0,(E21-F21)/E21)</f>
        <v/>
      </c>
      <c r="H21" s="20">
        <f>'Control Panel'!$B$39+MIN((MIN(MAX(0,$A21-'Control Panel'!$C$39),'Control Panel'!$B$43)*'Control Panel'!$C$43+MIN(MAX(MAX(0,$A21-'Control Panel'!$C$39)-'Control Panel'!$B$43,0),'Control Panel'!$B$44-'Control Panel'!$B$43)*'Control Panel'!$C$44+MIN(MAX(MAX(0,$A21-'Control Panel'!$C$39)-'Control Panel'!$B$44,0),'Control Panel'!$B$45-'Control Panel'!$B$44)*'Control Panel'!$C$45+MAX(MAX(0,$A21-'Control Panel'!$C$39)-'Control Panel'!$B$45,0)*'Control Panel'!$C$46),'Control Panel'!$B$39*'Control Panel'!$B$49)</f>
        <v/>
      </c>
      <c r="I21" s="20">
        <f>'Control Panel'!$B$11+$A21*'Control Panel'!$B$10</f>
        <v/>
      </c>
      <c r="J21" s="26">
        <f>IF(H21=0,0,(H21-I21)/H21)</f>
        <v/>
      </c>
    </row>
    <row r="22">
      <c r="A22" s="53" t="n">
        <v>1200</v>
      </c>
      <c r="B22" s="20">
        <f>'Control Panel'!$B$37+MIN((MIN(MAX(0,$A22-'Control Panel'!$C$37),'Control Panel'!$B$43)*'Control Panel'!$C$43+MIN(MAX(MAX(0,$A22-'Control Panel'!$C$37)-'Control Panel'!$B$43,0),'Control Panel'!$B$44-'Control Panel'!$B$43)*'Control Panel'!$C$44+MIN(MAX(MAX(0,$A22-'Control Panel'!$C$37)-'Control Panel'!$B$44,0),'Control Panel'!$B$45-'Control Panel'!$B$44)*'Control Panel'!$C$45+MAX(MAX(0,$A22-'Control Panel'!$C$37)-'Control Panel'!$B$45,0)*'Control Panel'!$C$46),'Control Panel'!$B$37*'Control Panel'!$B$49)</f>
        <v/>
      </c>
      <c r="C22" s="20">
        <f>'Control Panel'!$B$11+$A22*'Control Panel'!$B$10</f>
        <v/>
      </c>
      <c r="D22" s="26">
        <f>IF(B22=0,0,(B22-C22)/B22)</f>
        <v/>
      </c>
      <c r="E22" s="20">
        <f>'Control Panel'!$B$38+MIN((MIN(MAX(0,$A22-'Control Panel'!$C$38),'Control Panel'!$B$43)*'Control Panel'!$C$43+MIN(MAX(MAX(0,$A22-'Control Panel'!$C$38)-'Control Panel'!$B$43,0),'Control Panel'!$B$44-'Control Panel'!$B$43)*'Control Panel'!$C$44+MIN(MAX(MAX(0,$A22-'Control Panel'!$C$38)-'Control Panel'!$B$44,0),'Control Panel'!$B$45-'Control Panel'!$B$44)*'Control Panel'!$C$45+MAX(MAX(0,$A22-'Control Panel'!$C$38)-'Control Panel'!$B$45,0)*'Control Panel'!$C$46),'Control Panel'!$B$38*'Control Panel'!$B$49)</f>
        <v/>
      </c>
      <c r="F22" s="20">
        <f>'Control Panel'!$B$11+$A22*'Control Panel'!$B$10</f>
        <v/>
      </c>
      <c r="G22" s="26">
        <f>IF(E22=0,0,(E22-F22)/E22)</f>
        <v/>
      </c>
      <c r="H22" s="20">
        <f>'Control Panel'!$B$39+MIN((MIN(MAX(0,$A22-'Control Panel'!$C$39),'Control Panel'!$B$43)*'Control Panel'!$C$43+MIN(MAX(MAX(0,$A22-'Control Panel'!$C$39)-'Control Panel'!$B$43,0),'Control Panel'!$B$44-'Control Panel'!$B$43)*'Control Panel'!$C$44+MIN(MAX(MAX(0,$A22-'Control Panel'!$C$39)-'Control Panel'!$B$44,0),'Control Panel'!$B$45-'Control Panel'!$B$44)*'Control Panel'!$C$45+MAX(MAX(0,$A22-'Control Panel'!$C$39)-'Control Panel'!$B$45,0)*'Control Panel'!$C$46),'Control Panel'!$B$39*'Control Panel'!$B$49)</f>
        <v/>
      </c>
      <c r="I22" s="20">
        <f>'Control Panel'!$B$11+$A22*'Control Panel'!$B$10</f>
        <v/>
      </c>
      <c r="J22" s="26">
        <f>IF(H22=0,0,(H22-I22)/H22)</f>
        <v/>
      </c>
    </row>
    <row r="23">
      <c r="A23" s="53" t="n">
        <v>1280</v>
      </c>
      <c r="B23" s="20">
        <f>'Control Panel'!$B$37+MIN((MIN(MAX(0,$A23-'Control Panel'!$C$37),'Control Panel'!$B$43)*'Control Panel'!$C$43+MIN(MAX(MAX(0,$A23-'Control Panel'!$C$37)-'Control Panel'!$B$43,0),'Control Panel'!$B$44-'Control Panel'!$B$43)*'Control Panel'!$C$44+MIN(MAX(MAX(0,$A23-'Control Panel'!$C$37)-'Control Panel'!$B$44,0),'Control Panel'!$B$45-'Control Panel'!$B$44)*'Control Panel'!$C$45+MAX(MAX(0,$A23-'Control Panel'!$C$37)-'Control Panel'!$B$45,0)*'Control Panel'!$C$46),'Control Panel'!$B$37*'Control Panel'!$B$49)</f>
        <v/>
      </c>
      <c r="C23" s="20">
        <f>'Control Panel'!$B$11+$A23*'Control Panel'!$B$10</f>
        <v/>
      </c>
      <c r="D23" s="26">
        <f>IF(B23=0,0,(B23-C23)/B23)</f>
        <v/>
      </c>
      <c r="E23" s="20">
        <f>'Control Panel'!$B$38+MIN((MIN(MAX(0,$A23-'Control Panel'!$C$38),'Control Panel'!$B$43)*'Control Panel'!$C$43+MIN(MAX(MAX(0,$A23-'Control Panel'!$C$38)-'Control Panel'!$B$43,0),'Control Panel'!$B$44-'Control Panel'!$B$43)*'Control Panel'!$C$44+MIN(MAX(MAX(0,$A23-'Control Panel'!$C$38)-'Control Panel'!$B$44,0),'Control Panel'!$B$45-'Control Panel'!$B$44)*'Control Panel'!$C$45+MAX(MAX(0,$A23-'Control Panel'!$C$38)-'Control Panel'!$B$45,0)*'Control Panel'!$C$46),'Control Panel'!$B$38*'Control Panel'!$B$49)</f>
        <v/>
      </c>
      <c r="F23" s="20">
        <f>'Control Panel'!$B$11+$A23*'Control Panel'!$B$10</f>
        <v/>
      </c>
      <c r="G23" s="26">
        <f>IF(E23=0,0,(E23-F23)/E23)</f>
        <v/>
      </c>
      <c r="H23" s="20">
        <f>'Control Panel'!$B$39+MIN((MIN(MAX(0,$A23-'Control Panel'!$C$39),'Control Panel'!$B$43)*'Control Panel'!$C$43+MIN(MAX(MAX(0,$A23-'Control Panel'!$C$39)-'Control Panel'!$B$43,0),'Control Panel'!$B$44-'Control Panel'!$B$43)*'Control Panel'!$C$44+MIN(MAX(MAX(0,$A23-'Control Panel'!$C$39)-'Control Panel'!$B$44,0),'Control Panel'!$B$45-'Control Panel'!$B$44)*'Control Panel'!$C$45+MAX(MAX(0,$A23-'Control Panel'!$C$39)-'Control Panel'!$B$45,0)*'Control Panel'!$C$46),'Control Panel'!$B$39*'Control Panel'!$B$49)</f>
        <v/>
      </c>
      <c r="I23" s="20">
        <f>'Control Panel'!$B$11+$A23*'Control Panel'!$B$10</f>
        <v/>
      </c>
      <c r="J23" s="26">
        <f>IF(H23=0,0,(H23-I23)/H23)</f>
        <v/>
      </c>
    </row>
    <row r="24">
      <c r="A24" s="53" t="n">
        <v>1360</v>
      </c>
      <c r="B24" s="20">
        <f>'Control Panel'!$B$37+MIN((MIN(MAX(0,$A24-'Control Panel'!$C$37),'Control Panel'!$B$43)*'Control Panel'!$C$43+MIN(MAX(MAX(0,$A24-'Control Panel'!$C$37)-'Control Panel'!$B$43,0),'Control Panel'!$B$44-'Control Panel'!$B$43)*'Control Panel'!$C$44+MIN(MAX(MAX(0,$A24-'Control Panel'!$C$37)-'Control Panel'!$B$44,0),'Control Panel'!$B$45-'Control Panel'!$B$44)*'Control Panel'!$C$45+MAX(MAX(0,$A24-'Control Panel'!$C$37)-'Control Panel'!$B$45,0)*'Control Panel'!$C$46),'Control Panel'!$B$37*'Control Panel'!$B$49)</f>
        <v/>
      </c>
      <c r="C24" s="20">
        <f>'Control Panel'!$B$11+$A24*'Control Panel'!$B$10</f>
        <v/>
      </c>
      <c r="D24" s="26">
        <f>IF(B24=0,0,(B24-C24)/B24)</f>
        <v/>
      </c>
      <c r="E24" s="20">
        <f>'Control Panel'!$B$38+MIN((MIN(MAX(0,$A24-'Control Panel'!$C$38),'Control Panel'!$B$43)*'Control Panel'!$C$43+MIN(MAX(MAX(0,$A24-'Control Panel'!$C$38)-'Control Panel'!$B$43,0),'Control Panel'!$B$44-'Control Panel'!$B$43)*'Control Panel'!$C$44+MIN(MAX(MAX(0,$A24-'Control Panel'!$C$38)-'Control Panel'!$B$44,0),'Control Panel'!$B$45-'Control Panel'!$B$44)*'Control Panel'!$C$45+MAX(MAX(0,$A24-'Control Panel'!$C$38)-'Control Panel'!$B$45,0)*'Control Panel'!$C$46),'Control Panel'!$B$38*'Control Panel'!$B$49)</f>
        <v/>
      </c>
      <c r="F24" s="20">
        <f>'Control Panel'!$B$11+$A24*'Control Panel'!$B$10</f>
        <v/>
      </c>
      <c r="G24" s="26">
        <f>IF(E24=0,0,(E24-F24)/E24)</f>
        <v/>
      </c>
      <c r="H24" s="20">
        <f>'Control Panel'!$B$39+MIN((MIN(MAX(0,$A24-'Control Panel'!$C$39),'Control Panel'!$B$43)*'Control Panel'!$C$43+MIN(MAX(MAX(0,$A24-'Control Panel'!$C$39)-'Control Panel'!$B$43,0),'Control Panel'!$B$44-'Control Panel'!$B$43)*'Control Panel'!$C$44+MIN(MAX(MAX(0,$A24-'Control Panel'!$C$39)-'Control Panel'!$B$44,0),'Control Panel'!$B$45-'Control Panel'!$B$44)*'Control Panel'!$C$45+MAX(MAX(0,$A24-'Control Panel'!$C$39)-'Control Panel'!$B$45,0)*'Control Panel'!$C$46),'Control Panel'!$B$39*'Control Panel'!$B$49)</f>
        <v/>
      </c>
      <c r="I24" s="20">
        <f>'Control Panel'!$B$11+$A24*'Control Panel'!$B$10</f>
        <v/>
      </c>
      <c r="J24" s="26">
        <f>IF(H24=0,0,(H24-I24)/H24)</f>
        <v/>
      </c>
    </row>
    <row r="25">
      <c r="A25" s="53" t="n">
        <v>1440</v>
      </c>
      <c r="B25" s="20">
        <f>'Control Panel'!$B$37+MIN((MIN(MAX(0,$A25-'Control Panel'!$C$37),'Control Panel'!$B$43)*'Control Panel'!$C$43+MIN(MAX(MAX(0,$A25-'Control Panel'!$C$37)-'Control Panel'!$B$43,0),'Control Panel'!$B$44-'Control Panel'!$B$43)*'Control Panel'!$C$44+MIN(MAX(MAX(0,$A25-'Control Panel'!$C$37)-'Control Panel'!$B$44,0),'Control Panel'!$B$45-'Control Panel'!$B$44)*'Control Panel'!$C$45+MAX(MAX(0,$A25-'Control Panel'!$C$37)-'Control Panel'!$B$45,0)*'Control Panel'!$C$46),'Control Panel'!$B$37*'Control Panel'!$B$49)</f>
        <v/>
      </c>
      <c r="C25" s="20">
        <f>'Control Panel'!$B$11+$A25*'Control Panel'!$B$10</f>
        <v/>
      </c>
      <c r="D25" s="26">
        <f>IF(B25=0,0,(B25-C25)/B25)</f>
        <v/>
      </c>
      <c r="E25" s="20">
        <f>'Control Panel'!$B$38+MIN((MIN(MAX(0,$A25-'Control Panel'!$C$38),'Control Panel'!$B$43)*'Control Panel'!$C$43+MIN(MAX(MAX(0,$A25-'Control Panel'!$C$38)-'Control Panel'!$B$43,0),'Control Panel'!$B$44-'Control Panel'!$B$43)*'Control Panel'!$C$44+MIN(MAX(MAX(0,$A25-'Control Panel'!$C$38)-'Control Panel'!$B$44,0),'Control Panel'!$B$45-'Control Panel'!$B$44)*'Control Panel'!$C$45+MAX(MAX(0,$A25-'Control Panel'!$C$38)-'Control Panel'!$B$45,0)*'Control Panel'!$C$46),'Control Panel'!$B$38*'Control Panel'!$B$49)</f>
        <v/>
      </c>
      <c r="F25" s="20">
        <f>'Control Panel'!$B$11+$A25*'Control Panel'!$B$10</f>
        <v/>
      </c>
      <c r="G25" s="26">
        <f>IF(E25=0,0,(E25-F25)/E25)</f>
        <v/>
      </c>
      <c r="H25" s="20">
        <f>'Control Panel'!$B$39+MIN((MIN(MAX(0,$A25-'Control Panel'!$C$39),'Control Panel'!$B$43)*'Control Panel'!$C$43+MIN(MAX(MAX(0,$A25-'Control Panel'!$C$39)-'Control Panel'!$B$43,0),'Control Panel'!$B$44-'Control Panel'!$B$43)*'Control Panel'!$C$44+MIN(MAX(MAX(0,$A25-'Control Panel'!$C$39)-'Control Panel'!$B$44,0),'Control Panel'!$B$45-'Control Panel'!$B$44)*'Control Panel'!$C$45+MAX(MAX(0,$A25-'Control Panel'!$C$39)-'Control Panel'!$B$45,0)*'Control Panel'!$C$46),'Control Panel'!$B$39*'Control Panel'!$B$49)</f>
        <v/>
      </c>
      <c r="I25" s="20">
        <f>'Control Panel'!$B$11+$A25*'Control Panel'!$B$10</f>
        <v/>
      </c>
      <c r="J25" s="26">
        <f>IF(H25=0,0,(H25-I25)/H25)</f>
        <v/>
      </c>
    </row>
    <row r="26">
      <c r="A26" s="53" t="n">
        <v>1520</v>
      </c>
      <c r="B26" s="20">
        <f>'Control Panel'!$B$37+MIN((MIN(MAX(0,$A26-'Control Panel'!$C$37),'Control Panel'!$B$43)*'Control Panel'!$C$43+MIN(MAX(MAX(0,$A26-'Control Panel'!$C$37)-'Control Panel'!$B$43,0),'Control Panel'!$B$44-'Control Panel'!$B$43)*'Control Panel'!$C$44+MIN(MAX(MAX(0,$A26-'Control Panel'!$C$37)-'Control Panel'!$B$44,0),'Control Panel'!$B$45-'Control Panel'!$B$44)*'Control Panel'!$C$45+MAX(MAX(0,$A26-'Control Panel'!$C$37)-'Control Panel'!$B$45,0)*'Control Panel'!$C$46),'Control Panel'!$B$37*'Control Panel'!$B$49)</f>
        <v/>
      </c>
      <c r="C26" s="20">
        <f>'Control Panel'!$B$11+$A26*'Control Panel'!$B$10</f>
        <v/>
      </c>
      <c r="D26" s="26">
        <f>IF(B26=0,0,(B26-C26)/B26)</f>
        <v/>
      </c>
      <c r="E26" s="20">
        <f>'Control Panel'!$B$38+MIN((MIN(MAX(0,$A26-'Control Panel'!$C$38),'Control Panel'!$B$43)*'Control Panel'!$C$43+MIN(MAX(MAX(0,$A26-'Control Panel'!$C$38)-'Control Panel'!$B$43,0),'Control Panel'!$B$44-'Control Panel'!$B$43)*'Control Panel'!$C$44+MIN(MAX(MAX(0,$A26-'Control Panel'!$C$38)-'Control Panel'!$B$44,0),'Control Panel'!$B$45-'Control Panel'!$B$44)*'Control Panel'!$C$45+MAX(MAX(0,$A26-'Control Panel'!$C$38)-'Control Panel'!$B$45,0)*'Control Panel'!$C$46),'Control Panel'!$B$38*'Control Panel'!$B$49)</f>
        <v/>
      </c>
      <c r="F26" s="20">
        <f>'Control Panel'!$B$11+$A26*'Control Panel'!$B$10</f>
        <v/>
      </c>
      <c r="G26" s="26">
        <f>IF(E26=0,0,(E26-F26)/E26)</f>
        <v/>
      </c>
      <c r="H26" s="20">
        <f>'Control Panel'!$B$39+MIN((MIN(MAX(0,$A26-'Control Panel'!$C$39),'Control Panel'!$B$43)*'Control Panel'!$C$43+MIN(MAX(MAX(0,$A26-'Control Panel'!$C$39)-'Control Panel'!$B$43,0),'Control Panel'!$B$44-'Control Panel'!$B$43)*'Control Panel'!$C$44+MIN(MAX(MAX(0,$A26-'Control Panel'!$C$39)-'Control Panel'!$B$44,0),'Control Panel'!$B$45-'Control Panel'!$B$44)*'Control Panel'!$C$45+MAX(MAX(0,$A26-'Control Panel'!$C$39)-'Control Panel'!$B$45,0)*'Control Panel'!$C$46),'Control Panel'!$B$39*'Control Panel'!$B$49)</f>
        <v/>
      </c>
      <c r="I26" s="20">
        <f>'Control Panel'!$B$11+$A26*'Control Panel'!$B$10</f>
        <v/>
      </c>
      <c r="J26" s="26">
        <f>IF(H26=0,0,(H26-I26)/H26)</f>
        <v/>
      </c>
    </row>
    <row r="27">
      <c r="A27" s="53" t="n">
        <v>1600</v>
      </c>
      <c r="B27" s="20">
        <f>'Control Panel'!$B$37+MIN((MIN(MAX(0,$A27-'Control Panel'!$C$37),'Control Panel'!$B$43)*'Control Panel'!$C$43+MIN(MAX(MAX(0,$A27-'Control Panel'!$C$37)-'Control Panel'!$B$43,0),'Control Panel'!$B$44-'Control Panel'!$B$43)*'Control Panel'!$C$44+MIN(MAX(MAX(0,$A27-'Control Panel'!$C$37)-'Control Panel'!$B$44,0),'Control Panel'!$B$45-'Control Panel'!$B$44)*'Control Panel'!$C$45+MAX(MAX(0,$A27-'Control Panel'!$C$37)-'Control Panel'!$B$45,0)*'Control Panel'!$C$46),'Control Panel'!$B$37*'Control Panel'!$B$49)</f>
        <v/>
      </c>
      <c r="C27" s="20">
        <f>'Control Panel'!$B$11+$A27*'Control Panel'!$B$10</f>
        <v/>
      </c>
      <c r="D27" s="26">
        <f>IF(B27=0,0,(B27-C27)/B27)</f>
        <v/>
      </c>
      <c r="E27" s="20">
        <f>'Control Panel'!$B$38+MIN((MIN(MAX(0,$A27-'Control Panel'!$C$38),'Control Panel'!$B$43)*'Control Panel'!$C$43+MIN(MAX(MAX(0,$A27-'Control Panel'!$C$38)-'Control Panel'!$B$43,0),'Control Panel'!$B$44-'Control Panel'!$B$43)*'Control Panel'!$C$44+MIN(MAX(MAX(0,$A27-'Control Panel'!$C$38)-'Control Panel'!$B$44,0),'Control Panel'!$B$45-'Control Panel'!$B$44)*'Control Panel'!$C$45+MAX(MAX(0,$A27-'Control Panel'!$C$38)-'Control Panel'!$B$45,0)*'Control Panel'!$C$46),'Control Panel'!$B$38*'Control Panel'!$B$49)</f>
        <v/>
      </c>
      <c r="F27" s="20">
        <f>'Control Panel'!$B$11+$A27*'Control Panel'!$B$10</f>
        <v/>
      </c>
      <c r="G27" s="26">
        <f>IF(E27=0,0,(E27-F27)/E27)</f>
        <v/>
      </c>
      <c r="H27" s="20">
        <f>'Control Panel'!$B$39+MIN((MIN(MAX(0,$A27-'Control Panel'!$C$39),'Control Panel'!$B$43)*'Control Panel'!$C$43+MIN(MAX(MAX(0,$A27-'Control Panel'!$C$39)-'Control Panel'!$B$43,0),'Control Panel'!$B$44-'Control Panel'!$B$43)*'Control Panel'!$C$44+MIN(MAX(MAX(0,$A27-'Control Panel'!$C$39)-'Control Panel'!$B$44,0),'Control Panel'!$B$45-'Control Panel'!$B$44)*'Control Panel'!$C$45+MAX(MAX(0,$A27-'Control Panel'!$C$39)-'Control Panel'!$B$45,0)*'Control Panel'!$C$46),'Control Panel'!$B$39*'Control Panel'!$B$49)</f>
        <v/>
      </c>
      <c r="I27" s="20">
        <f>'Control Panel'!$B$11+$A27*'Control Panel'!$B$10</f>
        <v/>
      </c>
      <c r="J27" s="26">
        <f>IF(H27=0,0,(H27-I27)/H27)</f>
        <v/>
      </c>
    </row>
    <row r="29">
      <c r="A29" s="8" t="inlineStr">
        <is>
          <t>The crossover point where a tier's margin drops below the floor is the upgrade trigger for sales.</t>
        </is>
      </c>
    </row>
  </sheetData>
  <mergeCells count="3">
    <mergeCell ref="E5:G5"/>
    <mergeCell ref="B5:D5"/>
    <mergeCell ref="H5:J5"/>
  </mergeCells>
  <conditionalFormatting sqref="D7:D27">
    <cfRule type="colorScale" priority="1">
      <colorScale>
        <cfvo type="num" val="0.2"/>
        <cfvo type="num" val="0.55"/>
        <cfvo type="num" val="0.85"/>
        <color rgb="00F8696B"/>
        <color rgb="00FFEB84"/>
        <color rgb="0063BE7B"/>
      </colorScale>
    </cfRule>
  </conditionalFormatting>
  <conditionalFormatting sqref="G7:G27">
    <cfRule type="colorScale" priority="2">
      <colorScale>
        <cfvo type="num" val="0.2"/>
        <cfvo type="num" val="0.55"/>
        <cfvo type="num" val="0.85"/>
        <color rgb="00F8696B"/>
        <color rgb="00FFEB84"/>
        <color rgb="0063BE7B"/>
      </colorScale>
    </cfRule>
  </conditionalFormatting>
  <conditionalFormatting sqref="J7:J27">
    <cfRule type="colorScale" priority="3">
      <colorScale>
        <cfvo type="num" val="0.2"/>
        <cfvo type="num" val="0.55"/>
        <cfvo type="num" val="0.8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12-Month Scenario Model with AEP Seasonality</t>
        </is>
      </c>
    </row>
    <row r="2">
      <c r="A2" s="2" t="inlineStr">
        <is>
          <t>Four agency profiles across a full year. AEP runs 15 Oct to 7 Dec and OEP Jan to Mar, so volume is far from flat. Edit the blue baseline in each block.</t>
        </is>
      </c>
    </row>
    <row r="4">
      <c r="A4" s="9" t="inlineStr">
        <is>
          <t>SEASONALITY MULTIPLIERS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</row>
    <row r="5">
      <c r="A5" s="22" t="inlineStr">
        <is>
          <t>Month</t>
        </is>
      </c>
      <c r="B5" s="54" t="inlineStr">
        <is>
          <t>Jan</t>
        </is>
      </c>
      <c r="C5" s="54" t="inlineStr">
        <is>
          <t>Feb</t>
        </is>
      </c>
      <c r="D5" s="54" t="inlineStr">
        <is>
          <t>Mar</t>
        </is>
      </c>
      <c r="E5" s="22" t="inlineStr">
        <is>
          <t>Apr</t>
        </is>
      </c>
      <c r="F5" s="22" t="inlineStr">
        <is>
          <t>May</t>
        </is>
      </c>
      <c r="G5" s="22" t="inlineStr">
        <is>
          <t>Jun</t>
        </is>
      </c>
      <c r="H5" s="22" t="inlineStr">
        <is>
          <t>Jul</t>
        </is>
      </c>
      <c r="I5" s="22" t="inlineStr">
        <is>
          <t>Aug</t>
        </is>
      </c>
      <c r="J5" s="22" t="inlineStr">
        <is>
          <t>Sep</t>
        </is>
      </c>
      <c r="K5" s="54" t="inlineStr">
        <is>
          <t>Oct</t>
        </is>
      </c>
      <c r="L5" s="54" t="inlineStr">
        <is>
          <t>Nov</t>
        </is>
      </c>
      <c r="M5" s="54" t="inlineStr">
        <is>
          <t>Dec</t>
        </is>
      </c>
    </row>
    <row r="6">
      <c r="A6" s="49" t="inlineStr">
        <is>
          <t>Multiplier</t>
        </is>
      </c>
      <c r="B6" s="55" t="n">
        <v>1.15</v>
      </c>
      <c r="C6" s="55" t="n">
        <v>0.95</v>
      </c>
      <c r="D6" s="55" t="n">
        <v>0.9</v>
      </c>
      <c r="E6" s="55" t="n">
        <v>0.8</v>
      </c>
      <c r="F6" s="55" t="n">
        <v>0.75</v>
      </c>
      <c r="G6" s="55" t="n">
        <v>0.75</v>
      </c>
      <c r="H6" s="55" t="n">
        <v>0.8</v>
      </c>
      <c r="I6" s="55" t="n">
        <v>0.85</v>
      </c>
      <c r="J6" s="55" t="n">
        <v>1.05</v>
      </c>
      <c r="K6" s="55" t="n">
        <v>1.8</v>
      </c>
      <c r="L6" s="55" t="n">
        <v>2.4</v>
      </c>
      <c r="M6" s="55" t="n">
        <v>1.6</v>
      </c>
    </row>
    <row r="8">
      <c r="A8" s="9" t="inlineStr">
        <is>
          <t>SMALL AGENCY   -   on Front Desk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</row>
    <row r="9">
      <c r="A9" s="11" t="inlineStr">
        <is>
          <t>Baseline conv./mo</t>
        </is>
      </c>
      <c r="B9" s="19" t="n">
        <v>60</v>
      </c>
      <c r="D9" s="11" t="inlineStr">
        <is>
          <t>Platform fee</t>
        </is>
      </c>
      <c r="E9" s="20">
        <f>'Control Panel'!B37</f>
        <v/>
      </c>
      <c r="F9" s="11" t="inlineStr">
        <is>
          <t>Included</t>
        </is>
      </c>
      <c r="G9" s="46">
        <f>'Control Panel'!C37</f>
        <v/>
      </c>
    </row>
    <row r="10">
      <c r="A10" s="22" t="inlineStr">
        <is>
          <t>Month</t>
        </is>
      </c>
      <c r="B10" s="22" t="inlineStr">
        <is>
          <t>Mult.</t>
        </is>
      </c>
      <c r="C10" s="22" t="inlineStr">
        <is>
          <t>Conversations</t>
        </is>
      </c>
      <c r="D10" s="22" t="inlineStr">
        <is>
          <t>Over allowance</t>
        </is>
      </c>
      <c r="E10" s="22" t="inlineStr">
        <is>
          <t>Platform rev</t>
        </is>
      </c>
      <c r="F10" s="22" t="inlineStr">
        <is>
          <t>Overage rev</t>
        </is>
      </c>
      <c r="G10" s="22" t="inlineStr">
        <is>
          <t>Total revenue</t>
        </is>
      </c>
      <c r="H10" s="22" t="inlineStr">
        <is>
          <t>Cost</t>
        </is>
      </c>
      <c r="I10" s="22" t="inlineStr">
        <is>
          <t>Gross profit</t>
        </is>
      </c>
      <c r="J10" s="22" t="inlineStr">
        <is>
          <t>Margin</t>
        </is>
      </c>
    </row>
    <row r="11">
      <c r="A11" s="49" t="inlineStr">
        <is>
          <t>Jan</t>
        </is>
      </c>
      <c r="B11" s="56">
        <f>B$6</f>
        <v/>
      </c>
      <c r="C11" s="46">
        <f>ROUND($B$9*B11,0)</f>
        <v/>
      </c>
      <c r="D11" s="46">
        <f>MAX(0,C11-'Control Panel'!$C$37)</f>
        <v/>
      </c>
      <c r="E11" s="20">
        <f>'Control Panel'!$B$37</f>
        <v/>
      </c>
      <c r="F11" s="20">
        <f>MIN((MIN(MAX(0,C11-'Control Panel'!$C$37),'Control Panel'!$B$43)*'Control Panel'!$C$43+MIN(MAX(MAX(0,C11-'Control Panel'!$C$37)-'Control Panel'!$B$43,0),'Control Panel'!$B$44-'Control Panel'!$B$43)*'Control Panel'!$C$44+MIN(MAX(MAX(0,C11-'Control Panel'!$C$37)-'Control Panel'!$B$44,0),'Control Panel'!$B$45-'Control Panel'!$B$44)*'Control Panel'!$C$45+MAX(MAX(0,C11-'Control Panel'!$C$37)-'Control Panel'!$B$45,0)*'Control Panel'!$C$46),'Control Panel'!$B$37*'Control Panel'!$B$49)</f>
        <v/>
      </c>
      <c r="G11" s="20">
        <f>E11+F11</f>
        <v/>
      </c>
      <c r="H11" s="20">
        <f>'Control Panel'!$B$11+C11*'Control Panel'!$B$10</f>
        <v/>
      </c>
      <c r="I11" s="20">
        <f>G11-H11</f>
        <v/>
      </c>
      <c r="J11" s="26">
        <f>IF(G11=0,0,I11/G11)</f>
        <v/>
      </c>
    </row>
    <row r="12">
      <c r="A12" s="49" t="inlineStr">
        <is>
          <t>Feb</t>
        </is>
      </c>
      <c r="B12" s="56">
        <f>C$6</f>
        <v/>
      </c>
      <c r="C12" s="46">
        <f>ROUND($B$9*B12,0)</f>
        <v/>
      </c>
      <c r="D12" s="46">
        <f>MAX(0,C12-'Control Panel'!$C$37)</f>
        <v/>
      </c>
      <c r="E12" s="20">
        <f>'Control Panel'!$B$37</f>
        <v/>
      </c>
      <c r="F12" s="20">
        <f>MIN((MIN(MAX(0,C12-'Control Panel'!$C$37),'Control Panel'!$B$43)*'Control Panel'!$C$43+MIN(MAX(MAX(0,C12-'Control Panel'!$C$37)-'Control Panel'!$B$43,0),'Control Panel'!$B$44-'Control Panel'!$B$43)*'Control Panel'!$C$44+MIN(MAX(MAX(0,C12-'Control Panel'!$C$37)-'Control Panel'!$B$44,0),'Control Panel'!$B$45-'Control Panel'!$B$44)*'Control Panel'!$C$45+MAX(MAX(0,C12-'Control Panel'!$C$37)-'Control Panel'!$B$45,0)*'Control Panel'!$C$46),'Control Panel'!$B$37*'Control Panel'!$B$49)</f>
        <v/>
      </c>
      <c r="G12" s="20">
        <f>E12+F12</f>
        <v/>
      </c>
      <c r="H12" s="20">
        <f>'Control Panel'!$B$11+C12*'Control Panel'!$B$10</f>
        <v/>
      </c>
      <c r="I12" s="20">
        <f>G12-H12</f>
        <v/>
      </c>
      <c r="J12" s="26">
        <f>IF(G12=0,0,I12/G12)</f>
        <v/>
      </c>
    </row>
    <row r="13">
      <c r="A13" s="49" t="inlineStr">
        <is>
          <t>Mar</t>
        </is>
      </c>
      <c r="B13" s="56">
        <f>D$6</f>
        <v/>
      </c>
      <c r="C13" s="46">
        <f>ROUND($B$9*B13,0)</f>
        <v/>
      </c>
      <c r="D13" s="46">
        <f>MAX(0,C13-'Control Panel'!$C$37)</f>
        <v/>
      </c>
      <c r="E13" s="20">
        <f>'Control Panel'!$B$37</f>
        <v/>
      </c>
      <c r="F13" s="20">
        <f>MIN((MIN(MAX(0,C13-'Control Panel'!$C$37),'Control Panel'!$B$43)*'Control Panel'!$C$43+MIN(MAX(MAX(0,C13-'Control Panel'!$C$37)-'Control Panel'!$B$43,0),'Control Panel'!$B$44-'Control Panel'!$B$43)*'Control Panel'!$C$44+MIN(MAX(MAX(0,C13-'Control Panel'!$C$37)-'Control Panel'!$B$44,0),'Control Panel'!$B$45-'Control Panel'!$B$44)*'Control Panel'!$C$45+MAX(MAX(0,C13-'Control Panel'!$C$37)-'Control Panel'!$B$45,0)*'Control Panel'!$C$46),'Control Panel'!$B$37*'Control Panel'!$B$49)</f>
        <v/>
      </c>
      <c r="G13" s="20">
        <f>E13+F13</f>
        <v/>
      </c>
      <c r="H13" s="20">
        <f>'Control Panel'!$B$11+C13*'Control Panel'!$B$10</f>
        <v/>
      </c>
      <c r="I13" s="20">
        <f>G13-H13</f>
        <v/>
      </c>
      <c r="J13" s="26">
        <f>IF(G13=0,0,I13/G13)</f>
        <v/>
      </c>
    </row>
    <row r="14">
      <c r="A14" s="49" t="inlineStr">
        <is>
          <t>Apr</t>
        </is>
      </c>
      <c r="B14" s="56">
        <f>E$6</f>
        <v/>
      </c>
      <c r="C14" s="46">
        <f>ROUND($B$9*B14,0)</f>
        <v/>
      </c>
      <c r="D14" s="46">
        <f>MAX(0,C14-'Control Panel'!$C$37)</f>
        <v/>
      </c>
      <c r="E14" s="20">
        <f>'Control Panel'!$B$37</f>
        <v/>
      </c>
      <c r="F14" s="20">
        <f>MIN((MIN(MAX(0,C14-'Control Panel'!$C$37),'Control Panel'!$B$43)*'Control Panel'!$C$43+MIN(MAX(MAX(0,C14-'Control Panel'!$C$37)-'Control Panel'!$B$43,0),'Control Panel'!$B$44-'Control Panel'!$B$43)*'Control Panel'!$C$44+MIN(MAX(MAX(0,C14-'Control Panel'!$C$37)-'Control Panel'!$B$44,0),'Control Panel'!$B$45-'Control Panel'!$B$44)*'Control Panel'!$C$45+MAX(MAX(0,C14-'Control Panel'!$C$37)-'Control Panel'!$B$45,0)*'Control Panel'!$C$46),'Control Panel'!$B$37*'Control Panel'!$B$49)</f>
        <v/>
      </c>
      <c r="G14" s="20">
        <f>E14+F14</f>
        <v/>
      </c>
      <c r="H14" s="20">
        <f>'Control Panel'!$B$11+C14*'Control Panel'!$B$10</f>
        <v/>
      </c>
      <c r="I14" s="20">
        <f>G14-H14</f>
        <v/>
      </c>
      <c r="J14" s="26">
        <f>IF(G14=0,0,I14/G14)</f>
        <v/>
      </c>
    </row>
    <row r="15">
      <c r="A15" s="49" t="inlineStr">
        <is>
          <t>May</t>
        </is>
      </c>
      <c r="B15" s="56">
        <f>F$6</f>
        <v/>
      </c>
      <c r="C15" s="46">
        <f>ROUND($B$9*B15,0)</f>
        <v/>
      </c>
      <c r="D15" s="46">
        <f>MAX(0,C15-'Control Panel'!$C$37)</f>
        <v/>
      </c>
      <c r="E15" s="20">
        <f>'Control Panel'!$B$37</f>
        <v/>
      </c>
      <c r="F15" s="20">
        <f>MIN((MIN(MAX(0,C15-'Control Panel'!$C$37),'Control Panel'!$B$43)*'Control Panel'!$C$43+MIN(MAX(MAX(0,C15-'Control Panel'!$C$37)-'Control Panel'!$B$43,0),'Control Panel'!$B$44-'Control Panel'!$B$43)*'Control Panel'!$C$44+MIN(MAX(MAX(0,C15-'Control Panel'!$C$37)-'Control Panel'!$B$44,0),'Control Panel'!$B$45-'Control Panel'!$B$44)*'Control Panel'!$C$45+MAX(MAX(0,C15-'Control Panel'!$C$37)-'Control Panel'!$B$45,0)*'Control Panel'!$C$46),'Control Panel'!$B$37*'Control Panel'!$B$49)</f>
        <v/>
      </c>
      <c r="G15" s="20">
        <f>E15+F15</f>
        <v/>
      </c>
      <c r="H15" s="20">
        <f>'Control Panel'!$B$11+C15*'Control Panel'!$B$10</f>
        <v/>
      </c>
      <c r="I15" s="20">
        <f>G15-H15</f>
        <v/>
      </c>
      <c r="J15" s="26">
        <f>IF(G15=0,0,I15/G15)</f>
        <v/>
      </c>
    </row>
    <row r="16">
      <c r="A16" s="49" t="inlineStr">
        <is>
          <t>Jun</t>
        </is>
      </c>
      <c r="B16" s="56">
        <f>G$6</f>
        <v/>
      </c>
      <c r="C16" s="46">
        <f>ROUND($B$9*B16,0)</f>
        <v/>
      </c>
      <c r="D16" s="46">
        <f>MAX(0,C16-'Control Panel'!$C$37)</f>
        <v/>
      </c>
      <c r="E16" s="20">
        <f>'Control Panel'!$B$37</f>
        <v/>
      </c>
      <c r="F16" s="20">
        <f>MIN((MIN(MAX(0,C16-'Control Panel'!$C$37),'Control Panel'!$B$43)*'Control Panel'!$C$43+MIN(MAX(MAX(0,C16-'Control Panel'!$C$37)-'Control Panel'!$B$43,0),'Control Panel'!$B$44-'Control Panel'!$B$43)*'Control Panel'!$C$44+MIN(MAX(MAX(0,C16-'Control Panel'!$C$37)-'Control Panel'!$B$44,0),'Control Panel'!$B$45-'Control Panel'!$B$44)*'Control Panel'!$C$45+MAX(MAX(0,C16-'Control Panel'!$C$37)-'Control Panel'!$B$45,0)*'Control Panel'!$C$46),'Control Panel'!$B$37*'Control Panel'!$B$49)</f>
        <v/>
      </c>
      <c r="G16" s="20">
        <f>E16+F16</f>
        <v/>
      </c>
      <c r="H16" s="20">
        <f>'Control Panel'!$B$11+C16*'Control Panel'!$B$10</f>
        <v/>
      </c>
      <c r="I16" s="20">
        <f>G16-H16</f>
        <v/>
      </c>
      <c r="J16" s="26">
        <f>IF(G16=0,0,I16/G16)</f>
        <v/>
      </c>
    </row>
    <row r="17">
      <c r="A17" s="49" t="inlineStr">
        <is>
          <t>Jul</t>
        </is>
      </c>
      <c r="B17" s="56">
        <f>H$6</f>
        <v/>
      </c>
      <c r="C17" s="46">
        <f>ROUND($B$9*B17,0)</f>
        <v/>
      </c>
      <c r="D17" s="46">
        <f>MAX(0,C17-'Control Panel'!$C$37)</f>
        <v/>
      </c>
      <c r="E17" s="20">
        <f>'Control Panel'!$B$37</f>
        <v/>
      </c>
      <c r="F17" s="20">
        <f>MIN((MIN(MAX(0,C17-'Control Panel'!$C$37),'Control Panel'!$B$43)*'Control Panel'!$C$43+MIN(MAX(MAX(0,C17-'Control Panel'!$C$37)-'Control Panel'!$B$43,0),'Control Panel'!$B$44-'Control Panel'!$B$43)*'Control Panel'!$C$44+MIN(MAX(MAX(0,C17-'Control Panel'!$C$37)-'Control Panel'!$B$44,0),'Control Panel'!$B$45-'Control Panel'!$B$44)*'Control Panel'!$C$45+MAX(MAX(0,C17-'Control Panel'!$C$37)-'Control Panel'!$B$45,0)*'Control Panel'!$C$46),'Control Panel'!$B$37*'Control Panel'!$B$49)</f>
        <v/>
      </c>
      <c r="G17" s="20">
        <f>E17+F17</f>
        <v/>
      </c>
      <c r="H17" s="20">
        <f>'Control Panel'!$B$11+C17*'Control Panel'!$B$10</f>
        <v/>
      </c>
      <c r="I17" s="20">
        <f>G17-H17</f>
        <v/>
      </c>
      <c r="J17" s="26">
        <f>IF(G17=0,0,I17/G17)</f>
        <v/>
      </c>
    </row>
    <row r="18">
      <c r="A18" s="49" t="inlineStr">
        <is>
          <t>Aug</t>
        </is>
      </c>
      <c r="B18" s="56">
        <f>I$6</f>
        <v/>
      </c>
      <c r="C18" s="46">
        <f>ROUND($B$9*B18,0)</f>
        <v/>
      </c>
      <c r="D18" s="46">
        <f>MAX(0,C18-'Control Panel'!$C$37)</f>
        <v/>
      </c>
      <c r="E18" s="20">
        <f>'Control Panel'!$B$37</f>
        <v/>
      </c>
      <c r="F18" s="20">
        <f>MIN((MIN(MAX(0,C18-'Control Panel'!$C$37),'Control Panel'!$B$43)*'Control Panel'!$C$43+MIN(MAX(MAX(0,C18-'Control Panel'!$C$37)-'Control Panel'!$B$43,0),'Control Panel'!$B$44-'Control Panel'!$B$43)*'Control Panel'!$C$44+MIN(MAX(MAX(0,C18-'Control Panel'!$C$37)-'Control Panel'!$B$44,0),'Control Panel'!$B$45-'Control Panel'!$B$44)*'Control Panel'!$C$45+MAX(MAX(0,C18-'Control Panel'!$C$37)-'Control Panel'!$B$45,0)*'Control Panel'!$C$46),'Control Panel'!$B$37*'Control Panel'!$B$49)</f>
        <v/>
      </c>
      <c r="G18" s="20">
        <f>E18+F18</f>
        <v/>
      </c>
      <c r="H18" s="20">
        <f>'Control Panel'!$B$11+C18*'Control Panel'!$B$10</f>
        <v/>
      </c>
      <c r="I18" s="20">
        <f>G18-H18</f>
        <v/>
      </c>
      <c r="J18" s="26">
        <f>IF(G18=0,0,I18/G18)</f>
        <v/>
      </c>
    </row>
    <row r="19">
      <c r="A19" s="49" t="inlineStr">
        <is>
          <t>Sep</t>
        </is>
      </c>
      <c r="B19" s="56">
        <f>J$6</f>
        <v/>
      </c>
      <c r="C19" s="46">
        <f>ROUND($B$9*B19,0)</f>
        <v/>
      </c>
      <c r="D19" s="46">
        <f>MAX(0,C19-'Control Panel'!$C$37)</f>
        <v/>
      </c>
      <c r="E19" s="20">
        <f>'Control Panel'!$B$37</f>
        <v/>
      </c>
      <c r="F19" s="20">
        <f>MIN((MIN(MAX(0,C19-'Control Panel'!$C$37),'Control Panel'!$B$43)*'Control Panel'!$C$43+MIN(MAX(MAX(0,C19-'Control Panel'!$C$37)-'Control Panel'!$B$43,0),'Control Panel'!$B$44-'Control Panel'!$B$43)*'Control Panel'!$C$44+MIN(MAX(MAX(0,C19-'Control Panel'!$C$37)-'Control Panel'!$B$44,0),'Control Panel'!$B$45-'Control Panel'!$B$44)*'Control Panel'!$C$45+MAX(MAX(0,C19-'Control Panel'!$C$37)-'Control Panel'!$B$45,0)*'Control Panel'!$C$46),'Control Panel'!$B$37*'Control Panel'!$B$49)</f>
        <v/>
      </c>
      <c r="G19" s="20">
        <f>E19+F19</f>
        <v/>
      </c>
      <c r="H19" s="20">
        <f>'Control Panel'!$B$11+C19*'Control Panel'!$B$10</f>
        <v/>
      </c>
      <c r="I19" s="20">
        <f>G19-H19</f>
        <v/>
      </c>
      <c r="J19" s="26">
        <f>IF(G19=0,0,I19/G19)</f>
        <v/>
      </c>
    </row>
    <row r="20">
      <c r="A20" s="57" t="inlineStr">
        <is>
          <t>Oct</t>
        </is>
      </c>
      <c r="B20" s="58">
        <f>K$6</f>
        <v/>
      </c>
      <c r="C20" s="46">
        <f>ROUND($B$9*B20,0)</f>
        <v/>
      </c>
      <c r="D20" s="46">
        <f>MAX(0,C20-'Control Panel'!$C$37)</f>
        <v/>
      </c>
      <c r="E20" s="20">
        <f>'Control Panel'!$B$37</f>
        <v/>
      </c>
      <c r="F20" s="20">
        <f>MIN((MIN(MAX(0,C20-'Control Panel'!$C$37),'Control Panel'!$B$43)*'Control Panel'!$C$43+MIN(MAX(MAX(0,C20-'Control Panel'!$C$37)-'Control Panel'!$B$43,0),'Control Panel'!$B$44-'Control Panel'!$B$43)*'Control Panel'!$C$44+MIN(MAX(MAX(0,C20-'Control Panel'!$C$37)-'Control Panel'!$B$44,0),'Control Panel'!$B$45-'Control Panel'!$B$44)*'Control Panel'!$C$45+MAX(MAX(0,C20-'Control Panel'!$C$37)-'Control Panel'!$B$45,0)*'Control Panel'!$C$46),'Control Panel'!$B$37*'Control Panel'!$B$49)</f>
        <v/>
      </c>
      <c r="G20" s="20">
        <f>E20+F20</f>
        <v/>
      </c>
      <c r="H20" s="20">
        <f>'Control Panel'!$B$11+C20*'Control Panel'!$B$10</f>
        <v/>
      </c>
      <c r="I20" s="20">
        <f>G20-H20</f>
        <v/>
      </c>
      <c r="J20" s="26">
        <f>IF(G20=0,0,I20/G20)</f>
        <v/>
      </c>
    </row>
    <row r="21">
      <c r="A21" s="57" t="inlineStr">
        <is>
          <t>Nov</t>
        </is>
      </c>
      <c r="B21" s="58">
        <f>L$6</f>
        <v/>
      </c>
      <c r="C21" s="46">
        <f>ROUND($B$9*B21,0)</f>
        <v/>
      </c>
      <c r="D21" s="46">
        <f>MAX(0,C21-'Control Panel'!$C$37)</f>
        <v/>
      </c>
      <c r="E21" s="20">
        <f>'Control Panel'!$B$37</f>
        <v/>
      </c>
      <c r="F21" s="20">
        <f>MIN((MIN(MAX(0,C21-'Control Panel'!$C$37),'Control Panel'!$B$43)*'Control Panel'!$C$43+MIN(MAX(MAX(0,C21-'Control Panel'!$C$37)-'Control Panel'!$B$43,0),'Control Panel'!$B$44-'Control Panel'!$B$43)*'Control Panel'!$C$44+MIN(MAX(MAX(0,C21-'Control Panel'!$C$37)-'Control Panel'!$B$44,0),'Control Panel'!$B$45-'Control Panel'!$B$44)*'Control Panel'!$C$45+MAX(MAX(0,C21-'Control Panel'!$C$37)-'Control Panel'!$B$45,0)*'Control Panel'!$C$46),'Control Panel'!$B$37*'Control Panel'!$B$49)</f>
        <v/>
      </c>
      <c r="G21" s="20">
        <f>E21+F21</f>
        <v/>
      </c>
      <c r="H21" s="20">
        <f>'Control Panel'!$B$11+C21*'Control Panel'!$B$10</f>
        <v/>
      </c>
      <c r="I21" s="20">
        <f>G21-H21</f>
        <v/>
      </c>
      <c r="J21" s="26">
        <f>IF(G21=0,0,I21/G21)</f>
        <v/>
      </c>
    </row>
    <row r="22">
      <c r="A22" s="57" t="inlineStr">
        <is>
          <t>Dec</t>
        </is>
      </c>
      <c r="B22" s="58">
        <f>M$6</f>
        <v/>
      </c>
      <c r="C22" s="46">
        <f>ROUND($B$9*B22,0)</f>
        <v/>
      </c>
      <c r="D22" s="46">
        <f>MAX(0,C22-'Control Panel'!$C$37)</f>
        <v/>
      </c>
      <c r="E22" s="20">
        <f>'Control Panel'!$B$37</f>
        <v/>
      </c>
      <c r="F22" s="20">
        <f>MIN((MIN(MAX(0,C22-'Control Panel'!$C$37),'Control Panel'!$B$43)*'Control Panel'!$C$43+MIN(MAX(MAX(0,C22-'Control Panel'!$C$37)-'Control Panel'!$B$43,0),'Control Panel'!$B$44-'Control Panel'!$B$43)*'Control Panel'!$C$44+MIN(MAX(MAX(0,C22-'Control Panel'!$C$37)-'Control Panel'!$B$44,0),'Control Panel'!$B$45-'Control Panel'!$B$44)*'Control Panel'!$C$45+MAX(MAX(0,C22-'Control Panel'!$C$37)-'Control Panel'!$B$45,0)*'Control Panel'!$C$46),'Control Panel'!$B$37*'Control Panel'!$B$49)</f>
        <v/>
      </c>
      <c r="G22" s="20">
        <f>E22+F22</f>
        <v/>
      </c>
      <c r="H22" s="20">
        <f>'Control Panel'!$B$11+C22*'Control Panel'!$B$10</f>
        <v/>
      </c>
      <c r="I22" s="20">
        <f>G22-H22</f>
        <v/>
      </c>
      <c r="J22" s="26">
        <f>IF(G22=0,0,I22/G22)</f>
        <v/>
      </c>
    </row>
    <row r="23">
      <c r="A23" s="3" t="inlineStr">
        <is>
          <t>YEAR TOTAL</t>
        </is>
      </c>
      <c r="B23" s="40" t="inlineStr"/>
      <c r="C23" s="59">
        <f>SUM(C11:C22)</f>
        <v/>
      </c>
      <c r="D23" s="59">
        <f>SUM(D11:D22)</f>
        <v/>
      </c>
      <c r="E23" s="60">
        <f>SUM(E11:E22)</f>
        <v/>
      </c>
      <c r="F23" s="60">
        <f>SUM(F11:F22)</f>
        <v/>
      </c>
      <c r="G23" s="21">
        <f>SUM(G11:G22)</f>
        <v/>
      </c>
      <c r="H23" s="60">
        <f>SUM(H11:H22)</f>
        <v/>
      </c>
      <c r="I23" s="60">
        <f>SUM(I11:I22)</f>
        <v/>
      </c>
      <c r="J23" s="24">
        <f>IF(G23=0,0,I23/G23)</f>
        <v/>
      </c>
    </row>
    <row r="25">
      <c r="A25" s="9" t="inlineStr">
        <is>
          <t>TYPICAL AGENCY   -   on Plan Fluent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</row>
    <row r="26">
      <c r="A26" s="11" t="inlineStr">
        <is>
          <t>Baseline conv./mo</t>
        </is>
      </c>
      <c r="B26" s="19" t="n">
        <v>180</v>
      </c>
      <c r="D26" s="11" t="inlineStr">
        <is>
          <t>Platform fee</t>
        </is>
      </c>
      <c r="E26" s="20">
        <f>'Control Panel'!B38</f>
        <v/>
      </c>
      <c r="F26" s="11" t="inlineStr">
        <is>
          <t>Included</t>
        </is>
      </c>
      <c r="G26" s="46">
        <f>'Control Panel'!C38</f>
        <v/>
      </c>
    </row>
    <row r="27">
      <c r="A27" s="22" t="inlineStr">
        <is>
          <t>Month</t>
        </is>
      </c>
      <c r="B27" s="22" t="inlineStr">
        <is>
          <t>Mult.</t>
        </is>
      </c>
      <c r="C27" s="22" t="inlineStr">
        <is>
          <t>Conversations</t>
        </is>
      </c>
      <c r="D27" s="22" t="inlineStr">
        <is>
          <t>Over allowance</t>
        </is>
      </c>
      <c r="E27" s="22" t="inlineStr">
        <is>
          <t>Platform rev</t>
        </is>
      </c>
      <c r="F27" s="22" t="inlineStr">
        <is>
          <t>Overage rev</t>
        </is>
      </c>
      <c r="G27" s="22" t="inlineStr">
        <is>
          <t>Total revenue</t>
        </is>
      </c>
      <c r="H27" s="22" t="inlineStr">
        <is>
          <t>Cost</t>
        </is>
      </c>
      <c r="I27" s="22" t="inlineStr">
        <is>
          <t>Gross profit</t>
        </is>
      </c>
      <c r="J27" s="22" t="inlineStr">
        <is>
          <t>Margin</t>
        </is>
      </c>
    </row>
    <row r="28">
      <c r="A28" s="49" t="inlineStr">
        <is>
          <t>Jan</t>
        </is>
      </c>
      <c r="B28" s="56">
        <f>B$6</f>
        <v/>
      </c>
      <c r="C28" s="46">
        <f>ROUND($B$26*B28,0)</f>
        <v/>
      </c>
      <c r="D28" s="46">
        <f>MAX(0,C28-'Control Panel'!$C$38)</f>
        <v/>
      </c>
      <c r="E28" s="20">
        <f>'Control Panel'!$B$38</f>
        <v/>
      </c>
      <c r="F28" s="20">
        <f>MIN((MIN(MAX(0,C28-'Control Panel'!$C$38),'Control Panel'!$B$43)*'Control Panel'!$C$43+MIN(MAX(MAX(0,C28-'Control Panel'!$C$38)-'Control Panel'!$B$43,0),'Control Panel'!$B$44-'Control Panel'!$B$43)*'Control Panel'!$C$44+MIN(MAX(MAX(0,C28-'Control Panel'!$C$38)-'Control Panel'!$B$44,0),'Control Panel'!$B$45-'Control Panel'!$B$44)*'Control Panel'!$C$45+MAX(MAX(0,C28-'Control Panel'!$C$38)-'Control Panel'!$B$45,0)*'Control Panel'!$C$46),'Control Panel'!$B$38*'Control Panel'!$B$49)</f>
        <v/>
      </c>
      <c r="G28" s="20">
        <f>E28+F28</f>
        <v/>
      </c>
      <c r="H28" s="20">
        <f>'Control Panel'!$B$11+C28*'Control Panel'!$B$10</f>
        <v/>
      </c>
      <c r="I28" s="20">
        <f>G28-H28</f>
        <v/>
      </c>
      <c r="J28" s="26">
        <f>IF(G28=0,0,I28/G28)</f>
        <v/>
      </c>
    </row>
    <row r="29">
      <c r="A29" s="49" t="inlineStr">
        <is>
          <t>Feb</t>
        </is>
      </c>
      <c r="B29" s="56">
        <f>C$6</f>
        <v/>
      </c>
      <c r="C29" s="46">
        <f>ROUND($B$26*B29,0)</f>
        <v/>
      </c>
      <c r="D29" s="46">
        <f>MAX(0,C29-'Control Panel'!$C$38)</f>
        <v/>
      </c>
      <c r="E29" s="20">
        <f>'Control Panel'!$B$38</f>
        <v/>
      </c>
      <c r="F29" s="20">
        <f>MIN((MIN(MAX(0,C29-'Control Panel'!$C$38),'Control Panel'!$B$43)*'Control Panel'!$C$43+MIN(MAX(MAX(0,C29-'Control Panel'!$C$38)-'Control Panel'!$B$43,0),'Control Panel'!$B$44-'Control Panel'!$B$43)*'Control Panel'!$C$44+MIN(MAX(MAX(0,C29-'Control Panel'!$C$38)-'Control Panel'!$B$44,0),'Control Panel'!$B$45-'Control Panel'!$B$44)*'Control Panel'!$C$45+MAX(MAX(0,C29-'Control Panel'!$C$38)-'Control Panel'!$B$45,0)*'Control Panel'!$C$46),'Control Panel'!$B$38*'Control Panel'!$B$49)</f>
        <v/>
      </c>
      <c r="G29" s="20">
        <f>E29+F29</f>
        <v/>
      </c>
      <c r="H29" s="20">
        <f>'Control Panel'!$B$11+C29*'Control Panel'!$B$10</f>
        <v/>
      </c>
      <c r="I29" s="20">
        <f>G29-H29</f>
        <v/>
      </c>
      <c r="J29" s="26">
        <f>IF(G29=0,0,I29/G29)</f>
        <v/>
      </c>
    </row>
    <row r="30">
      <c r="A30" s="49" t="inlineStr">
        <is>
          <t>Mar</t>
        </is>
      </c>
      <c r="B30" s="56">
        <f>D$6</f>
        <v/>
      </c>
      <c r="C30" s="46">
        <f>ROUND($B$26*B30,0)</f>
        <v/>
      </c>
      <c r="D30" s="46">
        <f>MAX(0,C30-'Control Panel'!$C$38)</f>
        <v/>
      </c>
      <c r="E30" s="20">
        <f>'Control Panel'!$B$38</f>
        <v/>
      </c>
      <c r="F30" s="20">
        <f>MIN((MIN(MAX(0,C30-'Control Panel'!$C$38),'Control Panel'!$B$43)*'Control Panel'!$C$43+MIN(MAX(MAX(0,C30-'Control Panel'!$C$38)-'Control Panel'!$B$43,0),'Control Panel'!$B$44-'Control Panel'!$B$43)*'Control Panel'!$C$44+MIN(MAX(MAX(0,C30-'Control Panel'!$C$38)-'Control Panel'!$B$44,0),'Control Panel'!$B$45-'Control Panel'!$B$44)*'Control Panel'!$C$45+MAX(MAX(0,C30-'Control Panel'!$C$38)-'Control Panel'!$B$45,0)*'Control Panel'!$C$46),'Control Panel'!$B$38*'Control Panel'!$B$49)</f>
        <v/>
      </c>
      <c r="G30" s="20">
        <f>E30+F30</f>
        <v/>
      </c>
      <c r="H30" s="20">
        <f>'Control Panel'!$B$11+C30*'Control Panel'!$B$10</f>
        <v/>
      </c>
      <c r="I30" s="20">
        <f>G30-H30</f>
        <v/>
      </c>
      <c r="J30" s="26">
        <f>IF(G30=0,0,I30/G30)</f>
        <v/>
      </c>
    </row>
    <row r="31">
      <c r="A31" s="49" t="inlineStr">
        <is>
          <t>Apr</t>
        </is>
      </c>
      <c r="B31" s="56">
        <f>E$6</f>
        <v/>
      </c>
      <c r="C31" s="46">
        <f>ROUND($B$26*B31,0)</f>
        <v/>
      </c>
      <c r="D31" s="46">
        <f>MAX(0,C31-'Control Panel'!$C$38)</f>
        <v/>
      </c>
      <c r="E31" s="20">
        <f>'Control Panel'!$B$38</f>
        <v/>
      </c>
      <c r="F31" s="20">
        <f>MIN((MIN(MAX(0,C31-'Control Panel'!$C$38),'Control Panel'!$B$43)*'Control Panel'!$C$43+MIN(MAX(MAX(0,C31-'Control Panel'!$C$38)-'Control Panel'!$B$43,0),'Control Panel'!$B$44-'Control Panel'!$B$43)*'Control Panel'!$C$44+MIN(MAX(MAX(0,C31-'Control Panel'!$C$38)-'Control Panel'!$B$44,0),'Control Panel'!$B$45-'Control Panel'!$B$44)*'Control Panel'!$C$45+MAX(MAX(0,C31-'Control Panel'!$C$38)-'Control Panel'!$B$45,0)*'Control Panel'!$C$46),'Control Panel'!$B$38*'Control Panel'!$B$49)</f>
        <v/>
      </c>
      <c r="G31" s="20">
        <f>E31+F31</f>
        <v/>
      </c>
      <c r="H31" s="20">
        <f>'Control Panel'!$B$11+C31*'Control Panel'!$B$10</f>
        <v/>
      </c>
      <c r="I31" s="20">
        <f>G31-H31</f>
        <v/>
      </c>
      <c r="J31" s="26">
        <f>IF(G31=0,0,I31/G31)</f>
        <v/>
      </c>
    </row>
    <row r="32">
      <c r="A32" s="49" t="inlineStr">
        <is>
          <t>May</t>
        </is>
      </c>
      <c r="B32" s="56">
        <f>F$6</f>
        <v/>
      </c>
      <c r="C32" s="46">
        <f>ROUND($B$26*B32,0)</f>
        <v/>
      </c>
      <c r="D32" s="46">
        <f>MAX(0,C32-'Control Panel'!$C$38)</f>
        <v/>
      </c>
      <c r="E32" s="20">
        <f>'Control Panel'!$B$38</f>
        <v/>
      </c>
      <c r="F32" s="20">
        <f>MIN((MIN(MAX(0,C32-'Control Panel'!$C$38),'Control Panel'!$B$43)*'Control Panel'!$C$43+MIN(MAX(MAX(0,C32-'Control Panel'!$C$38)-'Control Panel'!$B$43,0),'Control Panel'!$B$44-'Control Panel'!$B$43)*'Control Panel'!$C$44+MIN(MAX(MAX(0,C32-'Control Panel'!$C$38)-'Control Panel'!$B$44,0),'Control Panel'!$B$45-'Control Panel'!$B$44)*'Control Panel'!$C$45+MAX(MAX(0,C32-'Control Panel'!$C$38)-'Control Panel'!$B$45,0)*'Control Panel'!$C$46),'Control Panel'!$B$38*'Control Panel'!$B$49)</f>
        <v/>
      </c>
      <c r="G32" s="20">
        <f>E32+F32</f>
        <v/>
      </c>
      <c r="H32" s="20">
        <f>'Control Panel'!$B$11+C32*'Control Panel'!$B$10</f>
        <v/>
      </c>
      <c r="I32" s="20">
        <f>G32-H32</f>
        <v/>
      </c>
      <c r="J32" s="26">
        <f>IF(G32=0,0,I32/G32)</f>
        <v/>
      </c>
    </row>
    <row r="33">
      <c r="A33" s="49" t="inlineStr">
        <is>
          <t>Jun</t>
        </is>
      </c>
      <c r="B33" s="56">
        <f>G$6</f>
        <v/>
      </c>
      <c r="C33" s="46">
        <f>ROUND($B$26*B33,0)</f>
        <v/>
      </c>
      <c r="D33" s="46">
        <f>MAX(0,C33-'Control Panel'!$C$38)</f>
        <v/>
      </c>
      <c r="E33" s="20">
        <f>'Control Panel'!$B$38</f>
        <v/>
      </c>
      <c r="F33" s="20">
        <f>MIN((MIN(MAX(0,C33-'Control Panel'!$C$38),'Control Panel'!$B$43)*'Control Panel'!$C$43+MIN(MAX(MAX(0,C33-'Control Panel'!$C$38)-'Control Panel'!$B$43,0),'Control Panel'!$B$44-'Control Panel'!$B$43)*'Control Panel'!$C$44+MIN(MAX(MAX(0,C33-'Control Panel'!$C$38)-'Control Panel'!$B$44,0),'Control Panel'!$B$45-'Control Panel'!$B$44)*'Control Panel'!$C$45+MAX(MAX(0,C33-'Control Panel'!$C$38)-'Control Panel'!$B$45,0)*'Control Panel'!$C$46),'Control Panel'!$B$38*'Control Panel'!$B$49)</f>
        <v/>
      </c>
      <c r="G33" s="20">
        <f>E33+F33</f>
        <v/>
      </c>
      <c r="H33" s="20">
        <f>'Control Panel'!$B$11+C33*'Control Panel'!$B$10</f>
        <v/>
      </c>
      <c r="I33" s="20">
        <f>G33-H33</f>
        <v/>
      </c>
      <c r="J33" s="26">
        <f>IF(G33=0,0,I33/G33)</f>
        <v/>
      </c>
    </row>
    <row r="34">
      <c r="A34" s="49" t="inlineStr">
        <is>
          <t>Jul</t>
        </is>
      </c>
      <c r="B34" s="56">
        <f>H$6</f>
        <v/>
      </c>
      <c r="C34" s="46">
        <f>ROUND($B$26*B34,0)</f>
        <v/>
      </c>
      <c r="D34" s="46">
        <f>MAX(0,C34-'Control Panel'!$C$38)</f>
        <v/>
      </c>
      <c r="E34" s="20">
        <f>'Control Panel'!$B$38</f>
        <v/>
      </c>
      <c r="F34" s="20">
        <f>MIN((MIN(MAX(0,C34-'Control Panel'!$C$38),'Control Panel'!$B$43)*'Control Panel'!$C$43+MIN(MAX(MAX(0,C34-'Control Panel'!$C$38)-'Control Panel'!$B$43,0),'Control Panel'!$B$44-'Control Panel'!$B$43)*'Control Panel'!$C$44+MIN(MAX(MAX(0,C34-'Control Panel'!$C$38)-'Control Panel'!$B$44,0),'Control Panel'!$B$45-'Control Panel'!$B$44)*'Control Panel'!$C$45+MAX(MAX(0,C34-'Control Panel'!$C$38)-'Control Panel'!$B$45,0)*'Control Panel'!$C$46),'Control Panel'!$B$38*'Control Panel'!$B$49)</f>
        <v/>
      </c>
      <c r="G34" s="20">
        <f>E34+F34</f>
        <v/>
      </c>
      <c r="H34" s="20">
        <f>'Control Panel'!$B$11+C34*'Control Panel'!$B$10</f>
        <v/>
      </c>
      <c r="I34" s="20">
        <f>G34-H34</f>
        <v/>
      </c>
      <c r="J34" s="26">
        <f>IF(G34=0,0,I34/G34)</f>
        <v/>
      </c>
    </row>
    <row r="35">
      <c r="A35" s="49" t="inlineStr">
        <is>
          <t>Aug</t>
        </is>
      </c>
      <c r="B35" s="56">
        <f>I$6</f>
        <v/>
      </c>
      <c r="C35" s="46">
        <f>ROUND($B$26*B35,0)</f>
        <v/>
      </c>
      <c r="D35" s="46">
        <f>MAX(0,C35-'Control Panel'!$C$38)</f>
        <v/>
      </c>
      <c r="E35" s="20">
        <f>'Control Panel'!$B$38</f>
        <v/>
      </c>
      <c r="F35" s="20">
        <f>MIN((MIN(MAX(0,C35-'Control Panel'!$C$38),'Control Panel'!$B$43)*'Control Panel'!$C$43+MIN(MAX(MAX(0,C35-'Control Panel'!$C$38)-'Control Panel'!$B$43,0),'Control Panel'!$B$44-'Control Panel'!$B$43)*'Control Panel'!$C$44+MIN(MAX(MAX(0,C35-'Control Panel'!$C$38)-'Control Panel'!$B$44,0),'Control Panel'!$B$45-'Control Panel'!$B$44)*'Control Panel'!$C$45+MAX(MAX(0,C35-'Control Panel'!$C$38)-'Control Panel'!$B$45,0)*'Control Panel'!$C$46),'Control Panel'!$B$38*'Control Panel'!$B$49)</f>
        <v/>
      </c>
      <c r="G35" s="20">
        <f>E35+F35</f>
        <v/>
      </c>
      <c r="H35" s="20">
        <f>'Control Panel'!$B$11+C35*'Control Panel'!$B$10</f>
        <v/>
      </c>
      <c r="I35" s="20">
        <f>G35-H35</f>
        <v/>
      </c>
      <c r="J35" s="26">
        <f>IF(G35=0,0,I35/G35)</f>
        <v/>
      </c>
    </row>
    <row r="36">
      <c r="A36" s="49" t="inlineStr">
        <is>
          <t>Sep</t>
        </is>
      </c>
      <c r="B36" s="56">
        <f>J$6</f>
        <v/>
      </c>
      <c r="C36" s="46">
        <f>ROUND($B$26*B36,0)</f>
        <v/>
      </c>
      <c r="D36" s="46">
        <f>MAX(0,C36-'Control Panel'!$C$38)</f>
        <v/>
      </c>
      <c r="E36" s="20">
        <f>'Control Panel'!$B$38</f>
        <v/>
      </c>
      <c r="F36" s="20">
        <f>MIN((MIN(MAX(0,C36-'Control Panel'!$C$38),'Control Panel'!$B$43)*'Control Panel'!$C$43+MIN(MAX(MAX(0,C36-'Control Panel'!$C$38)-'Control Panel'!$B$43,0),'Control Panel'!$B$44-'Control Panel'!$B$43)*'Control Panel'!$C$44+MIN(MAX(MAX(0,C36-'Control Panel'!$C$38)-'Control Panel'!$B$44,0),'Control Panel'!$B$45-'Control Panel'!$B$44)*'Control Panel'!$C$45+MAX(MAX(0,C36-'Control Panel'!$C$38)-'Control Panel'!$B$45,0)*'Control Panel'!$C$46),'Control Panel'!$B$38*'Control Panel'!$B$49)</f>
        <v/>
      </c>
      <c r="G36" s="20">
        <f>E36+F36</f>
        <v/>
      </c>
      <c r="H36" s="20">
        <f>'Control Panel'!$B$11+C36*'Control Panel'!$B$10</f>
        <v/>
      </c>
      <c r="I36" s="20">
        <f>G36-H36</f>
        <v/>
      </c>
      <c r="J36" s="26">
        <f>IF(G36=0,0,I36/G36)</f>
        <v/>
      </c>
    </row>
    <row r="37">
      <c r="A37" s="57" t="inlineStr">
        <is>
          <t>Oct</t>
        </is>
      </c>
      <c r="B37" s="58">
        <f>K$6</f>
        <v/>
      </c>
      <c r="C37" s="46">
        <f>ROUND($B$26*B37,0)</f>
        <v/>
      </c>
      <c r="D37" s="46">
        <f>MAX(0,C37-'Control Panel'!$C$38)</f>
        <v/>
      </c>
      <c r="E37" s="20">
        <f>'Control Panel'!$B$38</f>
        <v/>
      </c>
      <c r="F37" s="20">
        <f>MIN((MIN(MAX(0,C37-'Control Panel'!$C$38),'Control Panel'!$B$43)*'Control Panel'!$C$43+MIN(MAX(MAX(0,C37-'Control Panel'!$C$38)-'Control Panel'!$B$43,0),'Control Panel'!$B$44-'Control Panel'!$B$43)*'Control Panel'!$C$44+MIN(MAX(MAX(0,C37-'Control Panel'!$C$38)-'Control Panel'!$B$44,0),'Control Panel'!$B$45-'Control Panel'!$B$44)*'Control Panel'!$C$45+MAX(MAX(0,C37-'Control Panel'!$C$38)-'Control Panel'!$B$45,0)*'Control Panel'!$C$46),'Control Panel'!$B$38*'Control Panel'!$B$49)</f>
        <v/>
      </c>
      <c r="G37" s="20">
        <f>E37+F37</f>
        <v/>
      </c>
      <c r="H37" s="20">
        <f>'Control Panel'!$B$11+C37*'Control Panel'!$B$10</f>
        <v/>
      </c>
      <c r="I37" s="20">
        <f>G37-H37</f>
        <v/>
      </c>
      <c r="J37" s="26">
        <f>IF(G37=0,0,I37/G37)</f>
        <v/>
      </c>
    </row>
    <row r="38">
      <c r="A38" s="57" t="inlineStr">
        <is>
          <t>Nov</t>
        </is>
      </c>
      <c r="B38" s="58">
        <f>L$6</f>
        <v/>
      </c>
      <c r="C38" s="46">
        <f>ROUND($B$26*B38,0)</f>
        <v/>
      </c>
      <c r="D38" s="46">
        <f>MAX(0,C38-'Control Panel'!$C$38)</f>
        <v/>
      </c>
      <c r="E38" s="20">
        <f>'Control Panel'!$B$38</f>
        <v/>
      </c>
      <c r="F38" s="20">
        <f>MIN((MIN(MAX(0,C38-'Control Panel'!$C$38),'Control Panel'!$B$43)*'Control Panel'!$C$43+MIN(MAX(MAX(0,C38-'Control Panel'!$C$38)-'Control Panel'!$B$43,0),'Control Panel'!$B$44-'Control Panel'!$B$43)*'Control Panel'!$C$44+MIN(MAX(MAX(0,C38-'Control Panel'!$C$38)-'Control Panel'!$B$44,0),'Control Panel'!$B$45-'Control Panel'!$B$44)*'Control Panel'!$C$45+MAX(MAX(0,C38-'Control Panel'!$C$38)-'Control Panel'!$B$45,0)*'Control Panel'!$C$46),'Control Panel'!$B$38*'Control Panel'!$B$49)</f>
        <v/>
      </c>
      <c r="G38" s="20">
        <f>E38+F38</f>
        <v/>
      </c>
      <c r="H38" s="20">
        <f>'Control Panel'!$B$11+C38*'Control Panel'!$B$10</f>
        <v/>
      </c>
      <c r="I38" s="20">
        <f>G38-H38</f>
        <v/>
      </c>
      <c r="J38" s="26">
        <f>IF(G38=0,0,I38/G38)</f>
        <v/>
      </c>
    </row>
    <row r="39">
      <c r="A39" s="57" t="inlineStr">
        <is>
          <t>Dec</t>
        </is>
      </c>
      <c r="B39" s="58">
        <f>M$6</f>
        <v/>
      </c>
      <c r="C39" s="46">
        <f>ROUND($B$26*B39,0)</f>
        <v/>
      </c>
      <c r="D39" s="46">
        <f>MAX(0,C39-'Control Panel'!$C$38)</f>
        <v/>
      </c>
      <c r="E39" s="20">
        <f>'Control Panel'!$B$38</f>
        <v/>
      </c>
      <c r="F39" s="20">
        <f>MIN((MIN(MAX(0,C39-'Control Panel'!$C$38),'Control Panel'!$B$43)*'Control Panel'!$C$43+MIN(MAX(MAX(0,C39-'Control Panel'!$C$38)-'Control Panel'!$B$43,0),'Control Panel'!$B$44-'Control Panel'!$B$43)*'Control Panel'!$C$44+MIN(MAX(MAX(0,C39-'Control Panel'!$C$38)-'Control Panel'!$B$44,0),'Control Panel'!$B$45-'Control Panel'!$B$44)*'Control Panel'!$C$45+MAX(MAX(0,C39-'Control Panel'!$C$38)-'Control Panel'!$B$45,0)*'Control Panel'!$C$46),'Control Panel'!$B$38*'Control Panel'!$B$49)</f>
        <v/>
      </c>
      <c r="G39" s="20">
        <f>E39+F39</f>
        <v/>
      </c>
      <c r="H39" s="20">
        <f>'Control Panel'!$B$11+C39*'Control Panel'!$B$10</f>
        <v/>
      </c>
      <c r="I39" s="20">
        <f>G39-H39</f>
        <v/>
      </c>
      <c r="J39" s="26">
        <f>IF(G39=0,0,I39/G39)</f>
        <v/>
      </c>
    </row>
    <row r="40">
      <c r="A40" s="3" t="inlineStr">
        <is>
          <t>YEAR TOTAL</t>
        </is>
      </c>
      <c r="B40" s="40" t="inlineStr"/>
      <c r="C40" s="59">
        <f>SUM(C28:C39)</f>
        <v/>
      </c>
      <c r="D40" s="59">
        <f>SUM(D28:D39)</f>
        <v/>
      </c>
      <c r="E40" s="60">
        <f>SUM(E28:E39)</f>
        <v/>
      </c>
      <c r="F40" s="60">
        <f>SUM(F28:F39)</f>
        <v/>
      </c>
      <c r="G40" s="21">
        <f>SUM(G28:G39)</f>
        <v/>
      </c>
      <c r="H40" s="60">
        <f>SUM(H28:H39)</f>
        <v/>
      </c>
      <c r="I40" s="60">
        <f>SUM(I28:I39)</f>
        <v/>
      </c>
      <c r="J40" s="24">
        <f>IF(G40=0,0,I40/G40)</f>
        <v/>
      </c>
    </row>
    <row r="42">
      <c r="A42" s="9" t="inlineStr">
        <is>
          <t>HEAVY AGENCY ON PLAN FLUENT   -   on Plan Fluent</t>
        </is>
      </c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</row>
    <row r="43">
      <c r="A43" s="11" t="inlineStr">
        <is>
          <t>Baseline conv./mo</t>
        </is>
      </c>
      <c r="B43" s="19" t="n">
        <v>420</v>
      </c>
      <c r="D43" s="11" t="inlineStr">
        <is>
          <t>Platform fee</t>
        </is>
      </c>
      <c r="E43" s="20">
        <f>'Control Panel'!B38</f>
        <v/>
      </c>
      <c r="F43" s="11" t="inlineStr">
        <is>
          <t>Included</t>
        </is>
      </c>
      <c r="G43" s="46">
        <f>'Control Panel'!C38</f>
        <v/>
      </c>
    </row>
    <row r="44">
      <c r="A44" s="22" t="inlineStr">
        <is>
          <t>Month</t>
        </is>
      </c>
      <c r="B44" s="22" t="inlineStr">
        <is>
          <t>Mult.</t>
        </is>
      </c>
      <c r="C44" s="22" t="inlineStr">
        <is>
          <t>Conversations</t>
        </is>
      </c>
      <c r="D44" s="22" t="inlineStr">
        <is>
          <t>Over allowance</t>
        </is>
      </c>
      <c r="E44" s="22" t="inlineStr">
        <is>
          <t>Platform rev</t>
        </is>
      </c>
      <c r="F44" s="22" t="inlineStr">
        <is>
          <t>Overage rev</t>
        </is>
      </c>
      <c r="G44" s="22" t="inlineStr">
        <is>
          <t>Total revenue</t>
        </is>
      </c>
      <c r="H44" s="22" t="inlineStr">
        <is>
          <t>Cost</t>
        </is>
      </c>
      <c r="I44" s="22" t="inlineStr">
        <is>
          <t>Gross profit</t>
        </is>
      </c>
      <c r="J44" s="22" t="inlineStr">
        <is>
          <t>Margin</t>
        </is>
      </c>
    </row>
    <row r="45">
      <c r="A45" s="49" t="inlineStr">
        <is>
          <t>Jan</t>
        </is>
      </c>
      <c r="B45" s="56">
        <f>B$6</f>
        <v/>
      </c>
      <c r="C45" s="46">
        <f>ROUND($B$43*B45,0)</f>
        <v/>
      </c>
      <c r="D45" s="46">
        <f>MAX(0,C45-'Control Panel'!$C$38)</f>
        <v/>
      </c>
      <c r="E45" s="20">
        <f>'Control Panel'!$B$38</f>
        <v/>
      </c>
      <c r="F45" s="20">
        <f>MIN((MIN(MAX(0,C45-'Control Panel'!$C$38),'Control Panel'!$B$43)*'Control Panel'!$C$43+MIN(MAX(MAX(0,C45-'Control Panel'!$C$38)-'Control Panel'!$B$43,0),'Control Panel'!$B$44-'Control Panel'!$B$43)*'Control Panel'!$C$44+MIN(MAX(MAX(0,C45-'Control Panel'!$C$38)-'Control Panel'!$B$44,0),'Control Panel'!$B$45-'Control Panel'!$B$44)*'Control Panel'!$C$45+MAX(MAX(0,C45-'Control Panel'!$C$38)-'Control Panel'!$B$45,0)*'Control Panel'!$C$46),'Control Panel'!$B$38*'Control Panel'!$B$49)</f>
        <v/>
      </c>
      <c r="G45" s="20">
        <f>E45+F45</f>
        <v/>
      </c>
      <c r="H45" s="20">
        <f>'Control Panel'!$B$11+C45*'Control Panel'!$B$10</f>
        <v/>
      </c>
      <c r="I45" s="20">
        <f>G45-H45</f>
        <v/>
      </c>
      <c r="J45" s="26">
        <f>IF(G45=0,0,I45/G45)</f>
        <v/>
      </c>
    </row>
    <row r="46">
      <c r="A46" s="49" t="inlineStr">
        <is>
          <t>Feb</t>
        </is>
      </c>
      <c r="B46" s="56">
        <f>C$6</f>
        <v/>
      </c>
      <c r="C46" s="46">
        <f>ROUND($B$43*B46,0)</f>
        <v/>
      </c>
      <c r="D46" s="46">
        <f>MAX(0,C46-'Control Panel'!$C$38)</f>
        <v/>
      </c>
      <c r="E46" s="20">
        <f>'Control Panel'!$B$38</f>
        <v/>
      </c>
      <c r="F46" s="20">
        <f>MIN((MIN(MAX(0,C46-'Control Panel'!$C$38),'Control Panel'!$B$43)*'Control Panel'!$C$43+MIN(MAX(MAX(0,C46-'Control Panel'!$C$38)-'Control Panel'!$B$43,0),'Control Panel'!$B$44-'Control Panel'!$B$43)*'Control Panel'!$C$44+MIN(MAX(MAX(0,C46-'Control Panel'!$C$38)-'Control Panel'!$B$44,0),'Control Panel'!$B$45-'Control Panel'!$B$44)*'Control Panel'!$C$45+MAX(MAX(0,C46-'Control Panel'!$C$38)-'Control Panel'!$B$45,0)*'Control Panel'!$C$46),'Control Panel'!$B$38*'Control Panel'!$B$49)</f>
        <v/>
      </c>
      <c r="G46" s="20">
        <f>E46+F46</f>
        <v/>
      </c>
      <c r="H46" s="20">
        <f>'Control Panel'!$B$11+C46*'Control Panel'!$B$10</f>
        <v/>
      </c>
      <c r="I46" s="20">
        <f>G46-H46</f>
        <v/>
      </c>
      <c r="J46" s="26">
        <f>IF(G46=0,0,I46/G46)</f>
        <v/>
      </c>
    </row>
    <row r="47">
      <c r="A47" s="49" t="inlineStr">
        <is>
          <t>Mar</t>
        </is>
      </c>
      <c r="B47" s="56">
        <f>D$6</f>
        <v/>
      </c>
      <c r="C47" s="46">
        <f>ROUND($B$43*B47,0)</f>
        <v/>
      </c>
      <c r="D47" s="46">
        <f>MAX(0,C47-'Control Panel'!$C$38)</f>
        <v/>
      </c>
      <c r="E47" s="20">
        <f>'Control Panel'!$B$38</f>
        <v/>
      </c>
      <c r="F47" s="20">
        <f>MIN((MIN(MAX(0,C47-'Control Panel'!$C$38),'Control Panel'!$B$43)*'Control Panel'!$C$43+MIN(MAX(MAX(0,C47-'Control Panel'!$C$38)-'Control Panel'!$B$43,0),'Control Panel'!$B$44-'Control Panel'!$B$43)*'Control Panel'!$C$44+MIN(MAX(MAX(0,C47-'Control Panel'!$C$38)-'Control Panel'!$B$44,0),'Control Panel'!$B$45-'Control Panel'!$B$44)*'Control Panel'!$C$45+MAX(MAX(0,C47-'Control Panel'!$C$38)-'Control Panel'!$B$45,0)*'Control Panel'!$C$46),'Control Panel'!$B$38*'Control Panel'!$B$49)</f>
        <v/>
      </c>
      <c r="G47" s="20">
        <f>E47+F47</f>
        <v/>
      </c>
      <c r="H47" s="20">
        <f>'Control Panel'!$B$11+C47*'Control Panel'!$B$10</f>
        <v/>
      </c>
      <c r="I47" s="20">
        <f>G47-H47</f>
        <v/>
      </c>
      <c r="J47" s="26">
        <f>IF(G47=0,0,I47/G47)</f>
        <v/>
      </c>
    </row>
    <row r="48">
      <c r="A48" s="49" t="inlineStr">
        <is>
          <t>Apr</t>
        </is>
      </c>
      <c r="B48" s="56">
        <f>E$6</f>
        <v/>
      </c>
      <c r="C48" s="46">
        <f>ROUND($B$43*B48,0)</f>
        <v/>
      </c>
      <c r="D48" s="46">
        <f>MAX(0,C48-'Control Panel'!$C$38)</f>
        <v/>
      </c>
      <c r="E48" s="20">
        <f>'Control Panel'!$B$38</f>
        <v/>
      </c>
      <c r="F48" s="20">
        <f>MIN((MIN(MAX(0,C48-'Control Panel'!$C$38),'Control Panel'!$B$43)*'Control Panel'!$C$43+MIN(MAX(MAX(0,C48-'Control Panel'!$C$38)-'Control Panel'!$B$43,0),'Control Panel'!$B$44-'Control Panel'!$B$43)*'Control Panel'!$C$44+MIN(MAX(MAX(0,C48-'Control Panel'!$C$38)-'Control Panel'!$B$44,0),'Control Panel'!$B$45-'Control Panel'!$B$44)*'Control Panel'!$C$45+MAX(MAX(0,C48-'Control Panel'!$C$38)-'Control Panel'!$B$45,0)*'Control Panel'!$C$46),'Control Panel'!$B$38*'Control Panel'!$B$49)</f>
        <v/>
      </c>
      <c r="G48" s="20">
        <f>E48+F48</f>
        <v/>
      </c>
      <c r="H48" s="20">
        <f>'Control Panel'!$B$11+C48*'Control Panel'!$B$10</f>
        <v/>
      </c>
      <c r="I48" s="20">
        <f>G48-H48</f>
        <v/>
      </c>
      <c r="J48" s="26">
        <f>IF(G48=0,0,I48/G48)</f>
        <v/>
      </c>
    </row>
    <row r="49">
      <c r="A49" s="49" t="inlineStr">
        <is>
          <t>May</t>
        </is>
      </c>
      <c r="B49" s="56">
        <f>F$6</f>
        <v/>
      </c>
      <c r="C49" s="46">
        <f>ROUND($B$43*B49,0)</f>
        <v/>
      </c>
      <c r="D49" s="46">
        <f>MAX(0,C49-'Control Panel'!$C$38)</f>
        <v/>
      </c>
      <c r="E49" s="20">
        <f>'Control Panel'!$B$38</f>
        <v/>
      </c>
      <c r="F49" s="20">
        <f>MIN((MIN(MAX(0,C49-'Control Panel'!$C$38),'Control Panel'!$B$43)*'Control Panel'!$C$43+MIN(MAX(MAX(0,C49-'Control Panel'!$C$38)-'Control Panel'!$B$43,0),'Control Panel'!$B$44-'Control Panel'!$B$43)*'Control Panel'!$C$44+MIN(MAX(MAX(0,C49-'Control Panel'!$C$38)-'Control Panel'!$B$44,0),'Control Panel'!$B$45-'Control Panel'!$B$44)*'Control Panel'!$C$45+MAX(MAX(0,C49-'Control Panel'!$C$38)-'Control Panel'!$B$45,0)*'Control Panel'!$C$46),'Control Panel'!$B$38*'Control Panel'!$B$49)</f>
        <v/>
      </c>
      <c r="G49" s="20">
        <f>E49+F49</f>
        <v/>
      </c>
      <c r="H49" s="20">
        <f>'Control Panel'!$B$11+C49*'Control Panel'!$B$10</f>
        <v/>
      </c>
      <c r="I49" s="20">
        <f>G49-H49</f>
        <v/>
      </c>
      <c r="J49" s="26">
        <f>IF(G49=0,0,I49/G49)</f>
        <v/>
      </c>
    </row>
    <row r="50">
      <c r="A50" s="49" t="inlineStr">
        <is>
          <t>Jun</t>
        </is>
      </c>
      <c r="B50" s="56">
        <f>G$6</f>
        <v/>
      </c>
      <c r="C50" s="46">
        <f>ROUND($B$43*B50,0)</f>
        <v/>
      </c>
      <c r="D50" s="46">
        <f>MAX(0,C50-'Control Panel'!$C$38)</f>
        <v/>
      </c>
      <c r="E50" s="20">
        <f>'Control Panel'!$B$38</f>
        <v/>
      </c>
      <c r="F50" s="20">
        <f>MIN((MIN(MAX(0,C50-'Control Panel'!$C$38),'Control Panel'!$B$43)*'Control Panel'!$C$43+MIN(MAX(MAX(0,C50-'Control Panel'!$C$38)-'Control Panel'!$B$43,0),'Control Panel'!$B$44-'Control Panel'!$B$43)*'Control Panel'!$C$44+MIN(MAX(MAX(0,C50-'Control Panel'!$C$38)-'Control Panel'!$B$44,0),'Control Panel'!$B$45-'Control Panel'!$B$44)*'Control Panel'!$C$45+MAX(MAX(0,C50-'Control Panel'!$C$38)-'Control Panel'!$B$45,0)*'Control Panel'!$C$46),'Control Panel'!$B$38*'Control Panel'!$B$49)</f>
        <v/>
      </c>
      <c r="G50" s="20">
        <f>E50+F50</f>
        <v/>
      </c>
      <c r="H50" s="20">
        <f>'Control Panel'!$B$11+C50*'Control Panel'!$B$10</f>
        <v/>
      </c>
      <c r="I50" s="20">
        <f>G50-H50</f>
        <v/>
      </c>
      <c r="J50" s="26">
        <f>IF(G50=0,0,I50/G50)</f>
        <v/>
      </c>
    </row>
    <row r="51">
      <c r="A51" s="49" t="inlineStr">
        <is>
          <t>Jul</t>
        </is>
      </c>
      <c r="B51" s="56">
        <f>H$6</f>
        <v/>
      </c>
      <c r="C51" s="46">
        <f>ROUND($B$43*B51,0)</f>
        <v/>
      </c>
      <c r="D51" s="46">
        <f>MAX(0,C51-'Control Panel'!$C$38)</f>
        <v/>
      </c>
      <c r="E51" s="20">
        <f>'Control Panel'!$B$38</f>
        <v/>
      </c>
      <c r="F51" s="20">
        <f>MIN((MIN(MAX(0,C51-'Control Panel'!$C$38),'Control Panel'!$B$43)*'Control Panel'!$C$43+MIN(MAX(MAX(0,C51-'Control Panel'!$C$38)-'Control Panel'!$B$43,0),'Control Panel'!$B$44-'Control Panel'!$B$43)*'Control Panel'!$C$44+MIN(MAX(MAX(0,C51-'Control Panel'!$C$38)-'Control Panel'!$B$44,0),'Control Panel'!$B$45-'Control Panel'!$B$44)*'Control Panel'!$C$45+MAX(MAX(0,C51-'Control Panel'!$C$38)-'Control Panel'!$B$45,0)*'Control Panel'!$C$46),'Control Panel'!$B$38*'Control Panel'!$B$49)</f>
        <v/>
      </c>
      <c r="G51" s="20">
        <f>E51+F51</f>
        <v/>
      </c>
      <c r="H51" s="20">
        <f>'Control Panel'!$B$11+C51*'Control Panel'!$B$10</f>
        <v/>
      </c>
      <c r="I51" s="20">
        <f>G51-H51</f>
        <v/>
      </c>
      <c r="J51" s="26">
        <f>IF(G51=0,0,I51/G51)</f>
        <v/>
      </c>
    </row>
    <row r="52">
      <c r="A52" s="49" t="inlineStr">
        <is>
          <t>Aug</t>
        </is>
      </c>
      <c r="B52" s="56">
        <f>I$6</f>
        <v/>
      </c>
      <c r="C52" s="46">
        <f>ROUND($B$43*B52,0)</f>
        <v/>
      </c>
      <c r="D52" s="46">
        <f>MAX(0,C52-'Control Panel'!$C$38)</f>
        <v/>
      </c>
      <c r="E52" s="20">
        <f>'Control Panel'!$B$38</f>
        <v/>
      </c>
      <c r="F52" s="20">
        <f>MIN((MIN(MAX(0,C52-'Control Panel'!$C$38),'Control Panel'!$B$43)*'Control Panel'!$C$43+MIN(MAX(MAX(0,C52-'Control Panel'!$C$38)-'Control Panel'!$B$43,0),'Control Panel'!$B$44-'Control Panel'!$B$43)*'Control Panel'!$C$44+MIN(MAX(MAX(0,C52-'Control Panel'!$C$38)-'Control Panel'!$B$44,0),'Control Panel'!$B$45-'Control Panel'!$B$44)*'Control Panel'!$C$45+MAX(MAX(0,C52-'Control Panel'!$C$38)-'Control Panel'!$B$45,0)*'Control Panel'!$C$46),'Control Panel'!$B$38*'Control Panel'!$B$49)</f>
        <v/>
      </c>
      <c r="G52" s="20">
        <f>E52+F52</f>
        <v/>
      </c>
      <c r="H52" s="20">
        <f>'Control Panel'!$B$11+C52*'Control Panel'!$B$10</f>
        <v/>
      </c>
      <c r="I52" s="20">
        <f>G52-H52</f>
        <v/>
      </c>
      <c r="J52" s="26">
        <f>IF(G52=0,0,I52/G52)</f>
        <v/>
      </c>
    </row>
    <row r="53">
      <c r="A53" s="49" t="inlineStr">
        <is>
          <t>Sep</t>
        </is>
      </c>
      <c r="B53" s="56">
        <f>J$6</f>
        <v/>
      </c>
      <c r="C53" s="46">
        <f>ROUND($B$43*B53,0)</f>
        <v/>
      </c>
      <c r="D53" s="46">
        <f>MAX(0,C53-'Control Panel'!$C$38)</f>
        <v/>
      </c>
      <c r="E53" s="20">
        <f>'Control Panel'!$B$38</f>
        <v/>
      </c>
      <c r="F53" s="20">
        <f>MIN((MIN(MAX(0,C53-'Control Panel'!$C$38),'Control Panel'!$B$43)*'Control Panel'!$C$43+MIN(MAX(MAX(0,C53-'Control Panel'!$C$38)-'Control Panel'!$B$43,0),'Control Panel'!$B$44-'Control Panel'!$B$43)*'Control Panel'!$C$44+MIN(MAX(MAX(0,C53-'Control Panel'!$C$38)-'Control Panel'!$B$44,0),'Control Panel'!$B$45-'Control Panel'!$B$44)*'Control Panel'!$C$45+MAX(MAX(0,C53-'Control Panel'!$C$38)-'Control Panel'!$B$45,0)*'Control Panel'!$C$46),'Control Panel'!$B$38*'Control Panel'!$B$49)</f>
        <v/>
      </c>
      <c r="G53" s="20">
        <f>E53+F53</f>
        <v/>
      </c>
      <c r="H53" s="20">
        <f>'Control Panel'!$B$11+C53*'Control Panel'!$B$10</f>
        <v/>
      </c>
      <c r="I53" s="20">
        <f>G53-H53</f>
        <v/>
      </c>
      <c r="J53" s="26">
        <f>IF(G53=0,0,I53/G53)</f>
        <v/>
      </c>
    </row>
    <row r="54">
      <c r="A54" s="57" t="inlineStr">
        <is>
          <t>Oct</t>
        </is>
      </c>
      <c r="B54" s="58">
        <f>K$6</f>
        <v/>
      </c>
      <c r="C54" s="46">
        <f>ROUND($B$43*B54,0)</f>
        <v/>
      </c>
      <c r="D54" s="46">
        <f>MAX(0,C54-'Control Panel'!$C$38)</f>
        <v/>
      </c>
      <c r="E54" s="20">
        <f>'Control Panel'!$B$38</f>
        <v/>
      </c>
      <c r="F54" s="20">
        <f>MIN((MIN(MAX(0,C54-'Control Panel'!$C$38),'Control Panel'!$B$43)*'Control Panel'!$C$43+MIN(MAX(MAX(0,C54-'Control Panel'!$C$38)-'Control Panel'!$B$43,0),'Control Panel'!$B$44-'Control Panel'!$B$43)*'Control Panel'!$C$44+MIN(MAX(MAX(0,C54-'Control Panel'!$C$38)-'Control Panel'!$B$44,0),'Control Panel'!$B$45-'Control Panel'!$B$44)*'Control Panel'!$C$45+MAX(MAX(0,C54-'Control Panel'!$C$38)-'Control Panel'!$B$45,0)*'Control Panel'!$C$46),'Control Panel'!$B$38*'Control Panel'!$B$49)</f>
        <v/>
      </c>
      <c r="G54" s="20">
        <f>E54+F54</f>
        <v/>
      </c>
      <c r="H54" s="20">
        <f>'Control Panel'!$B$11+C54*'Control Panel'!$B$10</f>
        <v/>
      </c>
      <c r="I54" s="20">
        <f>G54-H54</f>
        <v/>
      </c>
      <c r="J54" s="26">
        <f>IF(G54=0,0,I54/G54)</f>
        <v/>
      </c>
    </row>
    <row r="55">
      <c r="A55" s="57" t="inlineStr">
        <is>
          <t>Nov</t>
        </is>
      </c>
      <c r="B55" s="58">
        <f>L$6</f>
        <v/>
      </c>
      <c r="C55" s="46">
        <f>ROUND($B$43*B55,0)</f>
        <v/>
      </c>
      <c r="D55" s="46">
        <f>MAX(0,C55-'Control Panel'!$C$38)</f>
        <v/>
      </c>
      <c r="E55" s="20">
        <f>'Control Panel'!$B$38</f>
        <v/>
      </c>
      <c r="F55" s="20">
        <f>MIN((MIN(MAX(0,C55-'Control Panel'!$C$38),'Control Panel'!$B$43)*'Control Panel'!$C$43+MIN(MAX(MAX(0,C55-'Control Panel'!$C$38)-'Control Panel'!$B$43,0),'Control Panel'!$B$44-'Control Panel'!$B$43)*'Control Panel'!$C$44+MIN(MAX(MAX(0,C55-'Control Panel'!$C$38)-'Control Panel'!$B$44,0),'Control Panel'!$B$45-'Control Panel'!$B$44)*'Control Panel'!$C$45+MAX(MAX(0,C55-'Control Panel'!$C$38)-'Control Panel'!$B$45,0)*'Control Panel'!$C$46),'Control Panel'!$B$38*'Control Panel'!$B$49)</f>
        <v/>
      </c>
      <c r="G55" s="20">
        <f>E55+F55</f>
        <v/>
      </c>
      <c r="H55" s="20">
        <f>'Control Panel'!$B$11+C55*'Control Panel'!$B$10</f>
        <v/>
      </c>
      <c r="I55" s="20">
        <f>G55-H55</f>
        <v/>
      </c>
      <c r="J55" s="26">
        <f>IF(G55=0,0,I55/G55)</f>
        <v/>
      </c>
    </row>
    <row r="56">
      <c r="A56" s="57" t="inlineStr">
        <is>
          <t>Dec</t>
        </is>
      </c>
      <c r="B56" s="58">
        <f>M$6</f>
        <v/>
      </c>
      <c r="C56" s="46">
        <f>ROUND($B$43*B56,0)</f>
        <v/>
      </c>
      <c r="D56" s="46">
        <f>MAX(0,C56-'Control Panel'!$C$38)</f>
        <v/>
      </c>
      <c r="E56" s="20">
        <f>'Control Panel'!$B$38</f>
        <v/>
      </c>
      <c r="F56" s="20">
        <f>MIN((MIN(MAX(0,C56-'Control Panel'!$C$38),'Control Panel'!$B$43)*'Control Panel'!$C$43+MIN(MAX(MAX(0,C56-'Control Panel'!$C$38)-'Control Panel'!$B$43,0),'Control Panel'!$B$44-'Control Panel'!$B$43)*'Control Panel'!$C$44+MIN(MAX(MAX(0,C56-'Control Panel'!$C$38)-'Control Panel'!$B$44,0),'Control Panel'!$B$45-'Control Panel'!$B$44)*'Control Panel'!$C$45+MAX(MAX(0,C56-'Control Panel'!$C$38)-'Control Panel'!$B$45,0)*'Control Panel'!$C$46),'Control Panel'!$B$38*'Control Panel'!$B$49)</f>
        <v/>
      </c>
      <c r="G56" s="20">
        <f>E56+F56</f>
        <v/>
      </c>
      <c r="H56" s="20">
        <f>'Control Panel'!$B$11+C56*'Control Panel'!$B$10</f>
        <v/>
      </c>
      <c r="I56" s="20">
        <f>G56-H56</f>
        <v/>
      </c>
      <c r="J56" s="26">
        <f>IF(G56=0,0,I56/G56)</f>
        <v/>
      </c>
    </row>
    <row r="57">
      <c r="A57" s="3" t="inlineStr">
        <is>
          <t>YEAR TOTAL</t>
        </is>
      </c>
      <c r="B57" s="40" t="inlineStr"/>
      <c r="C57" s="59">
        <f>SUM(C45:C56)</f>
        <v/>
      </c>
      <c r="D57" s="59">
        <f>SUM(D45:D56)</f>
        <v/>
      </c>
      <c r="E57" s="60">
        <f>SUM(E45:E56)</f>
        <v/>
      </c>
      <c r="F57" s="60">
        <f>SUM(F45:F56)</f>
        <v/>
      </c>
      <c r="G57" s="21">
        <f>SUM(G45:G56)</f>
        <v/>
      </c>
      <c r="H57" s="60">
        <f>SUM(H45:H56)</f>
        <v/>
      </c>
      <c r="I57" s="60">
        <f>SUM(I45:I56)</f>
        <v/>
      </c>
      <c r="J57" s="24">
        <f>IF(G57=0,0,I57/G57)</f>
        <v/>
      </c>
    </row>
    <row r="59">
      <c r="A59" s="9" t="inlineStr">
        <is>
          <t>HEAVY AGENCY UPGRADED TO DOWNLINE   -   on Downline</t>
        </is>
      </c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</row>
    <row r="60">
      <c r="A60" s="11" t="inlineStr">
        <is>
          <t>Baseline conv./mo</t>
        </is>
      </c>
      <c r="B60" s="19" t="n">
        <v>420</v>
      </c>
      <c r="D60" s="11" t="inlineStr">
        <is>
          <t>Platform fee</t>
        </is>
      </c>
      <c r="E60" s="20">
        <f>'Control Panel'!B39</f>
        <v/>
      </c>
      <c r="F60" s="11" t="inlineStr">
        <is>
          <t>Included</t>
        </is>
      </c>
      <c r="G60" s="46">
        <f>'Control Panel'!C39</f>
        <v/>
      </c>
    </row>
    <row r="61">
      <c r="A61" s="22" t="inlineStr">
        <is>
          <t>Month</t>
        </is>
      </c>
      <c r="B61" s="22" t="inlineStr">
        <is>
          <t>Mult.</t>
        </is>
      </c>
      <c r="C61" s="22" t="inlineStr">
        <is>
          <t>Conversations</t>
        </is>
      </c>
      <c r="D61" s="22" t="inlineStr">
        <is>
          <t>Over allowance</t>
        </is>
      </c>
      <c r="E61" s="22" t="inlineStr">
        <is>
          <t>Platform rev</t>
        </is>
      </c>
      <c r="F61" s="22" t="inlineStr">
        <is>
          <t>Overage rev</t>
        </is>
      </c>
      <c r="G61" s="22" t="inlineStr">
        <is>
          <t>Total revenue</t>
        </is>
      </c>
      <c r="H61" s="22" t="inlineStr">
        <is>
          <t>Cost</t>
        </is>
      </c>
      <c r="I61" s="22" t="inlineStr">
        <is>
          <t>Gross profit</t>
        </is>
      </c>
      <c r="J61" s="22" t="inlineStr">
        <is>
          <t>Margin</t>
        </is>
      </c>
    </row>
    <row r="62">
      <c r="A62" s="49" t="inlineStr">
        <is>
          <t>Jan</t>
        </is>
      </c>
      <c r="B62" s="56">
        <f>B$6</f>
        <v/>
      </c>
      <c r="C62" s="46">
        <f>ROUND($B$60*B62,0)</f>
        <v/>
      </c>
      <c r="D62" s="46">
        <f>MAX(0,C62-'Control Panel'!$C$39)</f>
        <v/>
      </c>
      <c r="E62" s="20">
        <f>'Control Panel'!$B$39</f>
        <v/>
      </c>
      <c r="F62" s="20">
        <f>MIN((MIN(MAX(0,C62-'Control Panel'!$C$39),'Control Panel'!$B$43)*'Control Panel'!$C$43+MIN(MAX(MAX(0,C62-'Control Panel'!$C$39)-'Control Panel'!$B$43,0),'Control Panel'!$B$44-'Control Panel'!$B$43)*'Control Panel'!$C$44+MIN(MAX(MAX(0,C62-'Control Panel'!$C$39)-'Control Panel'!$B$44,0),'Control Panel'!$B$45-'Control Panel'!$B$44)*'Control Panel'!$C$45+MAX(MAX(0,C62-'Control Panel'!$C$39)-'Control Panel'!$B$45,0)*'Control Panel'!$C$46),'Control Panel'!$B$39*'Control Panel'!$B$49)</f>
        <v/>
      </c>
      <c r="G62" s="20">
        <f>E62+F62</f>
        <v/>
      </c>
      <c r="H62" s="20">
        <f>'Control Panel'!$B$11+C62*'Control Panel'!$B$10</f>
        <v/>
      </c>
      <c r="I62" s="20">
        <f>G62-H62</f>
        <v/>
      </c>
      <c r="J62" s="26">
        <f>IF(G62=0,0,I62/G62)</f>
        <v/>
      </c>
    </row>
    <row r="63">
      <c r="A63" s="49" t="inlineStr">
        <is>
          <t>Feb</t>
        </is>
      </c>
      <c r="B63" s="56">
        <f>C$6</f>
        <v/>
      </c>
      <c r="C63" s="46">
        <f>ROUND($B$60*B63,0)</f>
        <v/>
      </c>
      <c r="D63" s="46">
        <f>MAX(0,C63-'Control Panel'!$C$39)</f>
        <v/>
      </c>
      <c r="E63" s="20">
        <f>'Control Panel'!$B$39</f>
        <v/>
      </c>
      <c r="F63" s="20">
        <f>MIN((MIN(MAX(0,C63-'Control Panel'!$C$39),'Control Panel'!$B$43)*'Control Panel'!$C$43+MIN(MAX(MAX(0,C63-'Control Panel'!$C$39)-'Control Panel'!$B$43,0),'Control Panel'!$B$44-'Control Panel'!$B$43)*'Control Panel'!$C$44+MIN(MAX(MAX(0,C63-'Control Panel'!$C$39)-'Control Panel'!$B$44,0),'Control Panel'!$B$45-'Control Panel'!$B$44)*'Control Panel'!$C$45+MAX(MAX(0,C63-'Control Panel'!$C$39)-'Control Panel'!$B$45,0)*'Control Panel'!$C$46),'Control Panel'!$B$39*'Control Panel'!$B$49)</f>
        <v/>
      </c>
      <c r="G63" s="20">
        <f>E63+F63</f>
        <v/>
      </c>
      <c r="H63" s="20">
        <f>'Control Panel'!$B$11+C63*'Control Panel'!$B$10</f>
        <v/>
      </c>
      <c r="I63" s="20">
        <f>G63-H63</f>
        <v/>
      </c>
      <c r="J63" s="26">
        <f>IF(G63=0,0,I63/G63)</f>
        <v/>
      </c>
    </row>
    <row r="64">
      <c r="A64" s="49" t="inlineStr">
        <is>
          <t>Mar</t>
        </is>
      </c>
      <c r="B64" s="56">
        <f>D$6</f>
        <v/>
      </c>
      <c r="C64" s="46">
        <f>ROUND($B$60*B64,0)</f>
        <v/>
      </c>
      <c r="D64" s="46">
        <f>MAX(0,C64-'Control Panel'!$C$39)</f>
        <v/>
      </c>
      <c r="E64" s="20">
        <f>'Control Panel'!$B$39</f>
        <v/>
      </c>
      <c r="F64" s="20">
        <f>MIN((MIN(MAX(0,C64-'Control Panel'!$C$39),'Control Panel'!$B$43)*'Control Panel'!$C$43+MIN(MAX(MAX(0,C64-'Control Panel'!$C$39)-'Control Panel'!$B$43,0),'Control Panel'!$B$44-'Control Panel'!$B$43)*'Control Panel'!$C$44+MIN(MAX(MAX(0,C64-'Control Panel'!$C$39)-'Control Panel'!$B$44,0),'Control Panel'!$B$45-'Control Panel'!$B$44)*'Control Panel'!$C$45+MAX(MAX(0,C64-'Control Panel'!$C$39)-'Control Panel'!$B$45,0)*'Control Panel'!$C$46),'Control Panel'!$B$39*'Control Panel'!$B$49)</f>
        <v/>
      </c>
      <c r="G64" s="20">
        <f>E64+F64</f>
        <v/>
      </c>
      <c r="H64" s="20">
        <f>'Control Panel'!$B$11+C64*'Control Panel'!$B$10</f>
        <v/>
      </c>
      <c r="I64" s="20">
        <f>G64-H64</f>
        <v/>
      </c>
      <c r="J64" s="26">
        <f>IF(G64=0,0,I64/G64)</f>
        <v/>
      </c>
    </row>
    <row r="65">
      <c r="A65" s="49" t="inlineStr">
        <is>
          <t>Apr</t>
        </is>
      </c>
      <c r="B65" s="56">
        <f>E$6</f>
        <v/>
      </c>
      <c r="C65" s="46">
        <f>ROUND($B$60*B65,0)</f>
        <v/>
      </c>
      <c r="D65" s="46">
        <f>MAX(0,C65-'Control Panel'!$C$39)</f>
        <v/>
      </c>
      <c r="E65" s="20">
        <f>'Control Panel'!$B$39</f>
        <v/>
      </c>
      <c r="F65" s="20">
        <f>MIN((MIN(MAX(0,C65-'Control Panel'!$C$39),'Control Panel'!$B$43)*'Control Panel'!$C$43+MIN(MAX(MAX(0,C65-'Control Panel'!$C$39)-'Control Panel'!$B$43,0),'Control Panel'!$B$44-'Control Panel'!$B$43)*'Control Panel'!$C$44+MIN(MAX(MAX(0,C65-'Control Panel'!$C$39)-'Control Panel'!$B$44,0),'Control Panel'!$B$45-'Control Panel'!$B$44)*'Control Panel'!$C$45+MAX(MAX(0,C65-'Control Panel'!$C$39)-'Control Panel'!$B$45,0)*'Control Panel'!$C$46),'Control Panel'!$B$39*'Control Panel'!$B$49)</f>
        <v/>
      </c>
      <c r="G65" s="20">
        <f>E65+F65</f>
        <v/>
      </c>
      <c r="H65" s="20">
        <f>'Control Panel'!$B$11+C65*'Control Panel'!$B$10</f>
        <v/>
      </c>
      <c r="I65" s="20">
        <f>G65-H65</f>
        <v/>
      </c>
      <c r="J65" s="26">
        <f>IF(G65=0,0,I65/G65)</f>
        <v/>
      </c>
    </row>
    <row r="66">
      <c r="A66" s="49" t="inlineStr">
        <is>
          <t>May</t>
        </is>
      </c>
      <c r="B66" s="56">
        <f>F$6</f>
        <v/>
      </c>
      <c r="C66" s="46">
        <f>ROUND($B$60*B66,0)</f>
        <v/>
      </c>
      <c r="D66" s="46">
        <f>MAX(0,C66-'Control Panel'!$C$39)</f>
        <v/>
      </c>
      <c r="E66" s="20">
        <f>'Control Panel'!$B$39</f>
        <v/>
      </c>
      <c r="F66" s="20">
        <f>MIN((MIN(MAX(0,C66-'Control Panel'!$C$39),'Control Panel'!$B$43)*'Control Panel'!$C$43+MIN(MAX(MAX(0,C66-'Control Panel'!$C$39)-'Control Panel'!$B$43,0),'Control Panel'!$B$44-'Control Panel'!$B$43)*'Control Panel'!$C$44+MIN(MAX(MAX(0,C66-'Control Panel'!$C$39)-'Control Panel'!$B$44,0),'Control Panel'!$B$45-'Control Panel'!$B$44)*'Control Panel'!$C$45+MAX(MAX(0,C66-'Control Panel'!$C$39)-'Control Panel'!$B$45,0)*'Control Panel'!$C$46),'Control Panel'!$B$39*'Control Panel'!$B$49)</f>
        <v/>
      </c>
      <c r="G66" s="20">
        <f>E66+F66</f>
        <v/>
      </c>
      <c r="H66" s="20">
        <f>'Control Panel'!$B$11+C66*'Control Panel'!$B$10</f>
        <v/>
      </c>
      <c r="I66" s="20">
        <f>G66-H66</f>
        <v/>
      </c>
      <c r="J66" s="26">
        <f>IF(G66=0,0,I66/G66)</f>
        <v/>
      </c>
    </row>
    <row r="67">
      <c r="A67" s="49" t="inlineStr">
        <is>
          <t>Jun</t>
        </is>
      </c>
      <c r="B67" s="56">
        <f>G$6</f>
        <v/>
      </c>
      <c r="C67" s="46">
        <f>ROUND($B$60*B67,0)</f>
        <v/>
      </c>
      <c r="D67" s="46">
        <f>MAX(0,C67-'Control Panel'!$C$39)</f>
        <v/>
      </c>
      <c r="E67" s="20">
        <f>'Control Panel'!$B$39</f>
        <v/>
      </c>
      <c r="F67" s="20">
        <f>MIN((MIN(MAX(0,C67-'Control Panel'!$C$39),'Control Panel'!$B$43)*'Control Panel'!$C$43+MIN(MAX(MAX(0,C67-'Control Panel'!$C$39)-'Control Panel'!$B$43,0),'Control Panel'!$B$44-'Control Panel'!$B$43)*'Control Panel'!$C$44+MIN(MAX(MAX(0,C67-'Control Panel'!$C$39)-'Control Panel'!$B$44,0),'Control Panel'!$B$45-'Control Panel'!$B$44)*'Control Panel'!$C$45+MAX(MAX(0,C67-'Control Panel'!$C$39)-'Control Panel'!$B$45,0)*'Control Panel'!$C$46),'Control Panel'!$B$39*'Control Panel'!$B$49)</f>
        <v/>
      </c>
      <c r="G67" s="20">
        <f>E67+F67</f>
        <v/>
      </c>
      <c r="H67" s="20">
        <f>'Control Panel'!$B$11+C67*'Control Panel'!$B$10</f>
        <v/>
      </c>
      <c r="I67" s="20">
        <f>G67-H67</f>
        <v/>
      </c>
      <c r="J67" s="26">
        <f>IF(G67=0,0,I67/G67)</f>
        <v/>
      </c>
    </row>
    <row r="68">
      <c r="A68" s="49" t="inlineStr">
        <is>
          <t>Jul</t>
        </is>
      </c>
      <c r="B68" s="56">
        <f>H$6</f>
        <v/>
      </c>
      <c r="C68" s="46">
        <f>ROUND($B$60*B68,0)</f>
        <v/>
      </c>
      <c r="D68" s="46">
        <f>MAX(0,C68-'Control Panel'!$C$39)</f>
        <v/>
      </c>
      <c r="E68" s="20">
        <f>'Control Panel'!$B$39</f>
        <v/>
      </c>
      <c r="F68" s="20">
        <f>MIN((MIN(MAX(0,C68-'Control Panel'!$C$39),'Control Panel'!$B$43)*'Control Panel'!$C$43+MIN(MAX(MAX(0,C68-'Control Panel'!$C$39)-'Control Panel'!$B$43,0),'Control Panel'!$B$44-'Control Panel'!$B$43)*'Control Panel'!$C$44+MIN(MAX(MAX(0,C68-'Control Panel'!$C$39)-'Control Panel'!$B$44,0),'Control Panel'!$B$45-'Control Panel'!$B$44)*'Control Panel'!$C$45+MAX(MAX(0,C68-'Control Panel'!$C$39)-'Control Panel'!$B$45,0)*'Control Panel'!$C$46),'Control Panel'!$B$39*'Control Panel'!$B$49)</f>
        <v/>
      </c>
      <c r="G68" s="20">
        <f>E68+F68</f>
        <v/>
      </c>
      <c r="H68" s="20">
        <f>'Control Panel'!$B$11+C68*'Control Panel'!$B$10</f>
        <v/>
      </c>
      <c r="I68" s="20">
        <f>G68-H68</f>
        <v/>
      </c>
      <c r="J68" s="26">
        <f>IF(G68=0,0,I68/G68)</f>
        <v/>
      </c>
    </row>
    <row r="69">
      <c r="A69" s="49" t="inlineStr">
        <is>
          <t>Aug</t>
        </is>
      </c>
      <c r="B69" s="56">
        <f>I$6</f>
        <v/>
      </c>
      <c r="C69" s="46">
        <f>ROUND($B$60*B69,0)</f>
        <v/>
      </c>
      <c r="D69" s="46">
        <f>MAX(0,C69-'Control Panel'!$C$39)</f>
        <v/>
      </c>
      <c r="E69" s="20">
        <f>'Control Panel'!$B$39</f>
        <v/>
      </c>
      <c r="F69" s="20">
        <f>MIN((MIN(MAX(0,C69-'Control Panel'!$C$39),'Control Panel'!$B$43)*'Control Panel'!$C$43+MIN(MAX(MAX(0,C69-'Control Panel'!$C$39)-'Control Panel'!$B$43,0),'Control Panel'!$B$44-'Control Panel'!$B$43)*'Control Panel'!$C$44+MIN(MAX(MAX(0,C69-'Control Panel'!$C$39)-'Control Panel'!$B$44,0),'Control Panel'!$B$45-'Control Panel'!$B$44)*'Control Panel'!$C$45+MAX(MAX(0,C69-'Control Panel'!$C$39)-'Control Panel'!$B$45,0)*'Control Panel'!$C$46),'Control Panel'!$B$39*'Control Panel'!$B$49)</f>
        <v/>
      </c>
      <c r="G69" s="20">
        <f>E69+F69</f>
        <v/>
      </c>
      <c r="H69" s="20">
        <f>'Control Panel'!$B$11+C69*'Control Panel'!$B$10</f>
        <v/>
      </c>
      <c r="I69" s="20">
        <f>G69-H69</f>
        <v/>
      </c>
      <c r="J69" s="26">
        <f>IF(G69=0,0,I69/G69)</f>
        <v/>
      </c>
    </row>
    <row r="70">
      <c r="A70" s="49" t="inlineStr">
        <is>
          <t>Sep</t>
        </is>
      </c>
      <c r="B70" s="56">
        <f>J$6</f>
        <v/>
      </c>
      <c r="C70" s="46">
        <f>ROUND($B$60*B70,0)</f>
        <v/>
      </c>
      <c r="D70" s="46">
        <f>MAX(0,C70-'Control Panel'!$C$39)</f>
        <v/>
      </c>
      <c r="E70" s="20">
        <f>'Control Panel'!$B$39</f>
        <v/>
      </c>
      <c r="F70" s="20">
        <f>MIN((MIN(MAX(0,C70-'Control Panel'!$C$39),'Control Panel'!$B$43)*'Control Panel'!$C$43+MIN(MAX(MAX(0,C70-'Control Panel'!$C$39)-'Control Panel'!$B$43,0),'Control Panel'!$B$44-'Control Panel'!$B$43)*'Control Panel'!$C$44+MIN(MAX(MAX(0,C70-'Control Panel'!$C$39)-'Control Panel'!$B$44,0),'Control Panel'!$B$45-'Control Panel'!$B$44)*'Control Panel'!$C$45+MAX(MAX(0,C70-'Control Panel'!$C$39)-'Control Panel'!$B$45,0)*'Control Panel'!$C$46),'Control Panel'!$B$39*'Control Panel'!$B$49)</f>
        <v/>
      </c>
      <c r="G70" s="20">
        <f>E70+F70</f>
        <v/>
      </c>
      <c r="H70" s="20">
        <f>'Control Panel'!$B$11+C70*'Control Panel'!$B$10</f>
        <v/>
      </c>
      <c r="I70" s="20">
        <f>G70-H70</f>
        <v/>
      </c>
      <c r="J70" s="26">
        <f>IF(G70=0,0,I70/G70)</f>
        <v/>
      </c>
    </row>
    <row r="71">
      <c r="A71" s="57" t="inlineStr">
        <is>
          <t>Oct</t>
        </is>
      </c>
      <c r="B71" s="58">
        <f>K$6</f>
        <v/>
      </c>
      <c r="C71" s="46">
        <f>ROUND($B$60*B71,0)</f>
        <v/>
      </c>
      <c r="D71" s="46">
        <f>MAX(0,C71-'Control Panel'!$C$39)</f>
        <v/>
      </c>
      <c r="E71" s="20">
        <f>'Control Panel'!$B$39</f>
        <v/>
      </c>
      <c r="F71" s="20">
        <f>MIN((MIN(MAX(0,C71-'Control Panel'!$C$39),'Control Panel'!$B$43)*'Control Panel'!$C$43+MIN(MAX(MAX(0,C71-'Control Panel'!$C$39)-'Control Panel'!$B$43,0),'Control Panel'!$B$44-'Control Panel'!$B$43)*'Control Panel'!$C$44+MIN(MAX(MAX(0,C71-'Control Panel'!$C$39)-'Control Panel'!$B$44,0),'Control Panel'!$B$45-'Control Panel'!$B$44)*'Control Panel'!$C$45+MAX(MAX(0,C71-'Control Panel'!$C$39)-'Control Panel'!$B$45,0)*'Control Panel'!$C$46),'Control Panel'!$B$39*'Control Panel'!$B$49)</f>
        <v/>
      </c>
      <c r="G71" s="20">
        <f>E71+F71</f>
        <v/>
      </c>
      <c r="H71" s="20">
        <f>'Control Panel'!$B$11+C71*'Control Panel'!$B$10</f>
        <v/>
      </c>
      <c r="I71" s="20">
        <f>G71-H71</f>
        <v/>
      </c>
      <c r="J71" s="26">
        <f>IF(G71=0,0,I71/G71)</f>
        <v/>
      </c>
    </row>
    <row r="72">
      <c r="A72" s="57" t="inlineStr">
        <is>
          <t>Nov</t>
        </is>
      </c>
      <c r="B72" s="58">
        <f>L$6</f>
        <v/>
      </c>
      <c r="C72" s="46">
        <f>ROUND($B$60*B72,0)</f>
        <v/>
      </c>
      <c r="D72" s="46">
        <f>MAX(0,C72-'Control Panel'!$C$39)</f>
        <v/>
      </c>
      <c r="E72" s="20">
        <f>'Control Panel'!$B$39</f>
        <v/>
      </c>
      <c r="F72" s="20">
        <f>MIN((MIN(MAX(0,C72-'Control Panel'!$C$39),'Control Panel'!$B$43)*'Control Panel'!$C$43+MIN(MAX(MAX(0,C72-'Control Panel'!$C$39)-'Control Panel'!$B$43,0),'Control Panel'!$B$44-'Control Panel'!$B$43)*'Control Panel'!$C$44+MIN(MAX(MAX(0,C72-'Control Panel'!$C$39)-'Control Panel'!$B$44,0),'Control Panel'!$B$45-'Control Panel'!$B$44)*'Control Panel'!$C$45+MAX(MAX(0,C72-'Control Panel'!$C$39)-'Control Panel'!$B$45,0)*'Control Panel'!$C$46),'Control Panel'!$B$39*'Control Panel'!$B$49)</f>
        <v/>
      </c>
      <c r="G72" s="20">
        <f>E72+F72</f>
        <v/>
      </c>
      <c r="H72" s="20">
        <f>'Control Panel'!$B$11+C72*'Control Panel'!$B$10</f>
        <v/>
      </c>
      <c r="I72" s="20">
        <f>G72-H72</f>
        <v/>
      </c>
      <c r="J72" s="26">
        <f>IF(G72=0,0,I72/G72)</f>
        <v/>
      </c>
    </row>
    <row r="73">
      <c r="A73" s="57" t="inlineStr">
        <is>
          <t>Dec</t>
        </is>
      </c>
      <c r="B73" s="58">
        <f>M$6</f>
        <v/>
      </c>
      <c r="C73" s="46">
        <f>ROUND($B$60*B73,0)</f>
        <v/>
      </c>
      <c r="D73" s="46">
        <f>MAX(0,C73-'Control Panel'!$C$39)</f>
        <v/>
      </c>
      <c r="E73" s="20">
        <f>'Control Panel'!$B$39</f>
        <v/>
      </c>
      <c r="F73" s="20">
        <f>MIN((MIN(MAX(0,C73-'Control Panel'!$C$39),'Control Panel'!$B$43)*'Control Panel'!$C$43+MIN(MAX(MAX(0,C73-'Control Panel'!$C$39)-'Control Panel'!$B$43,0),'Control Panel'!$B$44-'Control Panel'!$B$43)*'Control Panel'!$C$44+MIN(MAX(MAX(0,C73-'Control Panel'!$C$39)-'Control Panel'!$B$44,0),'Control Panel'!$B$45-'Control Panel'!$B$44)*'Control Panel'!$C$45+MAX(MAX(0,C73-'Control Panel'!$C$39)-'Control Panel'!$B$45,0)*'Control Panel'!$C$46),'Control Panel'!$B$39*'Control Panel'!$B$49)</f>
        <v/>
      </c>
      <c r="G73" s="20">
        <f>E73+F73</f>
        <v/>
      </c>
      <c r="H73" s="20">
        <f>'Control Panel'!$B$11+C73*'Control Panel'!$B$10</f>
        <v/>
      </c>
      <c r="I73" s="20">
        <f>G73-H73</f>
        <v/>
      </c>
      <c r="J73" s="26">
        <f>IF(G73=0,0,I73/G73)</f>
        <v/>
      </c>
    </row>
    <row r="74">
      <c r="A74" s="3" t="inlineStr">
        <is>
          <t>YEAR TOTAL</t>
        </is>
      </c>
      <c r="B74" s="40" t="inlineStr"/>
      <c r="C74" s="59">
        <f>SUM(C62:C73)</f>
        <v/>
      </c>
      <c r="D74" s="59">
        <f>SUM(D62:D73)</f>
        <v/>
      </c>
      <c r="E74" s="60">
        <f>SUM(E62:E73)</f>
        <v/>
      </c>
      <c r="F74" s="60">
        <f>SUM(F62:F73)</f>
        <v/>
      </c>
      <c r="G74" s="21">
        <f>SUM(G62:G73)</f>
        <v/>
      </c>
      <c r="H74" s="60">
        <f>SUM(H62:H73)</f>
        <v/>
      </c>
      <c r="I74" s="60">
        <f>SUM(I62:I73)</f>
        <v/>
      </c>
      <c r="J74" s="24">
        <f>IF(G74=0,0,I74/G74)</f>
        <v/>
      </c>
    </row>
    <row r="76">
      <c r="A76" s="8" t="inlineStr">
        <is>
          <t>Blocks three and four are the same agency on two different tiers. That contrast is the upgrade conversation, in numbers.</t>
        </is>
      </c>
    </row>
  </sheetData>
  <conditionalFormatting sqref="J11:J22">
    <cfRule type="cellIs" priority="1" operator="lessThan" dxfId="0">
      <formula>'Control Panel'!$B$52</formula>
    </cfRule>
  </conditionalFormatting>
  <conditionalFormatting sqref="F11:F22">
    <cfRule type="colorScale" priority="2">
      <colorScale>
        <cfvo type="min"/>
        <cfvo type="max"/>
        <color rgb="00FFFFFF"/>
        <color rgb="009BC2E6"/>
      </colorScale>
    </cfRule>
  </conditionalFormatting>
  <conditionalFormatting sqref="J28:J39">
    <cfRule type="cellIs" priority="3" operator="lessThan" dxfId="0">
      <formula>'Control Panel'!$B$52</formula>
    </cfRule>
  </conditionalFormatting>
  <conditionalFormatting sqref="F28:F39">
    <cfRule type="colorScale" priority="4">
      <colorScale>
        <cfvo type="min"/>
        <cfvo type="max"/>
        <color rgb="00FFFFFF"/>
        <color rgb="009BC2E6"/>
      </colorScale>
    </cfRule>
  </conditionalFormatting>
  <conditionalFormatting sqref="J45:J56">
    <cfRule type="cellIs" priority="5" operator="lessThan" dxfId="0">
      <formula>'Control Panel'!$B$52</formula>
    </cfRule>
  </conditionalFormatting>
  <conditionalFormatting sqref="F45:F56">
    <cfRule type="colorScale" priority="6">
      <colorScale>
        <cfvo type="min"/>
        <cfvo type="max"/>
        <color rgb="00FFFFFF"/>
        <color rgb="009BC2E6"/>
      </colorScale>
    </cfRule>
  </conditionalFormatting>
  <conditionalFormatting sqref="J62:J73">
    <cfRule type="cellIs" priority="7" operator="lessThan" dxfId="0">
      <formula>'Control Panel'!$B$52</formula>
    </cfRule>
  </conditionalFormatting>
  <conditionalFormatting sqref="F62:F73">
    <cfRule type="colorScale" priority="8">
      <colorScale>
        <cfvo type="min"/>
        <cfvo type="max"/>
        <color rgb="00FFFFFF"/>
        <color rgb="009BC2E6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Sensitivity  -  Plan Fluent price against real usage</t>
        </is>
      </c>
    </row>
    <row r="2">
      <c r="A2" s="2" t="inlineStr">
        <is>
          <t>Gross margin at each combination. Rows are the platform fee you could charge, columns are what an account actually uses. Allowance and costs come from the Control Panel.</t>
        </is>
      </c>
    </row>
    <row r="4">
      <c r="A4" s="9" t="inlineStr">
        <is>
          <t>GROSS MARGIN GRID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</row>
    <row r="5">
      <c r="A5" s="22" t="inlineStr">
        <is>
          <t>Fee  \  Conversations</t>
        </is>
      </c>
      <c r="B5" s="61" t="n">
        <v>100</v>
      </c>
      <c r="C5" s="61" t="n">
        <v>200</v>
      </c>
      <c r="D5" s="61" t="n">
        <v>300</v>
      </c>
      <c r="E5" s="61" t="n">
        <v>400</v>
      </c>
      <c r="F5" s="61" t="n">
        <v>500</v>
      </c>
      <c r="G5" s="61" t="n">
        <v>600</v>
      </c>
      <c r="H5" s="61" t="n">
        <v>700</v>
      </c>
      <c r="I5" s="61" t="n">
        <v>800</v>
      </c>
      <c r="J5" s="61" t="n">
        <v>900</v>
      </c>
      <c r="K5" s="61" t="n">
        <v>1000</v>
      </c>
    </row>
    <row r="6">
      <c r="A6" s="17" t="n">
        <v>249</v>
      </c>
      <c r="B6" s="26">
        <f>(($A6+MIN((MIN(MAX(0,B$5-'Control Panel'!$C$38),'Control Panel'!$B$43)*'Control Panel'!$C$43+MIN(MAX(MAX(0,B$5-'Control Panel'!$C$38)-'Control Panel'!$B$43,0),'Control Panel'!$B$44-'Control Panel'!$B$43)*'Control Panel'!$C$44+MIN(MAX(MAX(0,B$5-'Control Panel'!$C$38)-'Control Panel'!$B$44,0),'Control Panel'!$B$45-'Control Panel'!$B$44)*'Control Panel'!$C$45+MAX(MAX(0,B$5-'Control Panel'!$C$38)-'Control Panel'!$B$45,0)*'Control Panel'!$C$46),$A6*'Control Panel'!$B$49))-('Control Panel'!$B$11+B$5*'Control Panel'!$B$10))/($A6+MIN((MIN(MAX(0,B$5-'Control Panel'!$C$38),'Control Panel'!$B$43)*'Control Panel'!$C$43+MIN(MAX(MAX(0,B$5-'Control Panel'!$C$38)-'Control Panel'!$B$43,0),'Control Panel'!$B$44-'Control Panel'!$B$43)*'Control Panel'!$C$44+MIN(MAX(MAX(0,B$5-'Control Panel'!$C$38)-'Control Panel'!$B$44,0),'Control Panel'!$B$45-'Control Panel'!$B$44)*'Control Panel'!$C$45+MAX(MAX(0,B$5-'Control Panel'!$C$38)-'Control Panel'!$B$45,0)*'Control Panel'!$C$46),$A6*'Control Panel'!$B$49))</f>
        <v/>
      </c>
      <c r="C6" s="26">
        <f>(($A6+MIN((MIN(MAX(0,C$5-'Control Panel'!$C$38),'Control Panel'!$B$43)*'Control Panel'!$C$43+MIN(MAX(MAX(0,C$5-'Control Panel'!$C$38)-'Control Panel'!$B$43,0),'Control Panel'!$B$44-'Control Panel'!$B$43)*'Control Panel'!$C$44+MIN(MAX(MAX(0,C$5-'Control Panel'!$C$38)-'Control Panel'!$B$44,0),'Control Panel'!$B$45-'Control Panel'!$B$44)*'Control Panel'!$C$45+MAX(MAX(0,C$5-'Control Panel'!$C$38)-'Control Panel'!$B$45,0)*'Control Panel'!$C$46),$A6*'Control Panel'!$B$49))-('Control Panel'!$B$11+C$5*'Control Panel'!$B$10))/($A6+MIN((MIN(MAX(0,C$5-'Control Panel'!$C$38),'Control Panel'!$B$43)*'Control Panel'!$C$43+MIN(MAX(MAX(0,C$5-'Control Panel'!$C$38)-'Control Panel'!$B$43,0),'Control Panel'!$B$44-'Control Panel'!$B$43)*'Control Panel'!$C$44+MIN(MAX(MAX(0,C$5-'Control Panel'!$C$38)-'Control Panel'!$B$44,0),'Control Panel'!$B$45-'Control Panel'!$B$44)*'Control Panel'!$C$45+MAX(MAX(0,C$5-'Control Panel'!$C$38)-'Control Panel'!$B$45,0)*'Control Panel'!$C$46),$A6*'Control Panel'!$B$49))</f>
        <v/>
      </c>
      <c r="D6" s="26">
        <f>(($A6+MIN((MIN(MAX(0,D$5-'Control Panel'!$C$38),'Control Panel'!$B$43)*'Control Panel'!$C$43+MIN(MAX(MAX(0,D$5-'Control Panel'!$C$38)-'Control Panel'!$B$43,0),'Control Panel'!$B$44-'Control Panel'!$B$43)*'Control Panel'!$C$44+MIN(MAX(MAX(0,D$5-'Control Panel'!$C$38)-'Control Panel'!$B$44,0),'Control Panel'!$B$45-'Control Panel'!$B$44)*'Control Panel'!$C$45+MAX(MAX(0,D$5-'Control Panel'!$C$38)-'Control Panel'!$B$45,0)*'Control Panel'!$C$46),$A6*'Control Panel'!$B$49))-('Control Panel'!$B$11+D$5*'Control Panel'!$B$10))/($A6+MIN((MIN(MAX(0,D$5-'Control Panel'!$C$38),'Control Panel'!$B$43)*'Control Panel'!$C$43+MIN(MAX(MAX(0,D$5-'Control Panel'!$C$38)-'Control Panel'!$B$43,0),'Control Panel'!$B$44-'Control Panel'!$B$43)*'Control Panel'!$C$44+MIN(MAX(MAX(0,D$5-'Control Panel'!$C$38)-'Control Panel'!$B$44,0),'Control Panel'!$B$45-'Control Panel'!$B$44)*'Control Panel'!$C$45+MAX(MAX(0,D$5-'Control Panel'!$C$38)-'Control Panel'!$B$45,0)*'Control Panel'!$C$46),$A6*'Control Panel'!$B$49))</f>
        <v/>
      </c>
      <c r="E6" s="26">
        <f>(($A6+MIN((MIN(MAX(0,E$5-'Control Panel'!$C$38),'Control Panel'!$B$43)*'Control Panel'!$C$43+MIN(MAX(MAX(0,E$5-'Control Panel'!$C$38)-'Control Panel'!$B$43,0),'Control Panel'!$B$44-'Control Panel'!$B$43)*'Control Panel'!$C$44+MIN(MAX(MAX(0,E$5-'Control Panel'!$C$38)-'Control Panel'!$B$44,0),'Control Panel'!$B$45-'Control Panel'!$B$44)*'Control Panel'!$C$45+MAX(MAX(0,E$5-'Control Panel'!$C$38)-'Control Panel'!$B$45,0)*'Control Panel'!$C$46),$A6*'Control Panel'!$B$49))-('Control Panel'!$B$11+E$5*'Control Panel'!$B$10))/($A6+MIN((MIN(MAX(0,E$5-'Control Panel'!$C$38),'Control Panel'!$B$43)*'Control Panel'!$C$43+MIN(MAX(MAX(0,E$5-'Control Panel'!$C$38)-'Control Panel'!$B$43,0),'Control Panel'!$B$44-'Control Panel'!$B$43)*'Control Panel'!$C$44+MIN(MAX(MAX(0,E$5-'Control Panel'!$C$38)-'Control Panel'!$B$44,0),'Control Panel'!$B$45-'Control Panel'!$B$44)*'Control Panel'!$C$45+MAX(MAX(0,E$5-'Control Panel'!$C$38)-'Control Panel'!$B$45,0)*'Control Panel'!$C$46),$A6*'Control Panel'!$B$49))</f>
        <v/>
      </c>
      <c r="F6" s="26">
        <f>(($A6+MIN((MIN(MAX(0,F$5-'Control Panel'!$C$38),'Control Panel'!$B$43)*'Control Panel'!$C$43+MIN(MAX(MAX(0,F$5-'Control Panel'!$C$38)-'Control Panel'!$B$43,0),'Control Panel'!$B$44-'Control Panel'!$B$43)*'Control Panel'!$C$44+MIN(MAX(MAX(0,F$5-'Control Panel'!$C$38)-'Control Panel'!$B$44,0),'Control Panel'!$B$45-'Control Panel'!$B$44)*'Control Panel'!$C$45+MAX(MAX(0,F$5-'Control Panel'!$C$38)-'Control Panel'!$B$45,0)*'Control Panel'!$C$46),$A6*'Control Panel'!$B$49))-('Control Panel'!$B$11+F$5*'Control Panel'!$B$10))/($A6+MIN((MIN(MAX(0,F$5-'Control Panel'!$C$38),'Control Panel'!$B$43)*'Control Panel'!$C$43+MIN(MAX(MAX(0,F$5-'Control Panel'!$C$38)-'Control Panel'!$B$43,0),'Control Panel'!$B$44-'Control Panel'!$B$43)*'Control Panel'!$C$44+MIN(MAX(MAX(0,F$5-'Control Panel'!$C$38)-'Control Panel'!$B$44,0),'Control Panel'!$B$45-'Control Panel'!$B$44)*'Control Panel'!$C$45+MAX(MAX(0,F$5-'Control Panel'!$C$38)-'Control Panel'!$B$45,0)*'Control Panel'!$C$46),$A6*'Control Panel'!$B$49))</f>
        <v/>
      </c>
      <c r="G6" s="26">
        <f>(($A6+MIN((MIN(MAX(0,G$5-'Control Panel'!$C$38),'Control Panel'!$B$43)*'Control Panel'!$C$43+MIN(MAX(MAX(0,G$5-'Control Panel'!$C$38)-'Control Panel'!$B$43,0),'Control Panel'!$B$44-'Control Panel'!$B$43)*'Control Panel'!$C$44+MIN(MAX(MAX(0,G$5-'Control Panel'!$C$38)-'Control Panel'!$B$44,0),'Control Panel'!$B$45-'Control Panel'!$B$44)*'Control Panel'!$C$45+MAX(MAX(0,G$5-'Control Panel'!$C$38)-'Control Panel'!$B$45,0)*'Control Panel'!$C$46),$A6*'Control Panel'!$B$49))-('Control Panel'!$B$11+G$5*'Control Panel'!$B$10))/($A6+MIN((MIN(MAX(0,G$5-'Control Panel'!$C$38),'Control Panel'!$B$43)*'Control Panel'!$C$43+MIN(MAX(MAX(0,G$5-'Control Panel'!$C$38)-'Control Panel'!$B$43,0),'Control Panel'!$B$44-'Control Panel'!$B$43)*'Control Panel'!$C$44+MIN(MAX(MAX(0,G$5-'Control Panel'!$C$38)-'Control Panel'!$B$44,0),'Control Panel'!$B$45-'Control Panel'!$B$44)*'Control Panel'!$C$45+MAX(MAX(0,G$5-'Control Panel'!$C$38)-'Control Panel'!$B$45,0)*'Control Panel'!$C$46),$A6*'Control Panel'!$B$49))</f>
        <v/>
      </c>
      <c r="H6" s="26">
        <f>(($A6+MIN((MIN(MAX(0,H$5-'Control Panel'!$C$38),'Control Panel'!$B$43)*'Control Panel'!$C$43+MIN(MAX(MAX(0,H$5-'Control Panel'!$C$38)-'Control Panel'!$B$43,0),'Control Panel'!$B$44-'Control Panel'!$B$43)*'Control Panel'!$C$44+MIN(MAX(MAX(0,H$5-'Control Panel'!$C$38)-'Control Panel'!$B$44,0),'Control Panel'!$B$45-'Control Panel'!$B$44)*'Control Panel'!$C$45+MAX(MAX(0,H$5-'Control Panel'!$C$38)-'Control Panel'!$B$45,0)*'Control Panel'!$C$46),$A6*'Control Panel'!$B$49))-('Control Panel'!$B$11+H$5*'Control Panel'!$B$10))/($A6+MIN((MIN(MAX(0,H$5-'Control Panel'!$C$38),'Control Panel'!$B$43)*'Control Panel'!$C$43+MIN(MAX(MAX(0,H$5-'Control Panel'!$C$38)-'Control Panel'!$B$43,0),'Control Panel'!$B$44-'Control Panel'!$B$43)*'Control Panel'!$C$44+MIN(MAX(MAX(0,H$5-'Control Panel'!$C$38)-'Control Panel'!$B$44,0),'Control Panel'!$B$45-'Control Panel'!$B$44)*'Control Panel'!$C$45+MAX(MAX(0,H$5-'Control Panel'!$C$38)-'Control Panel'!$B$45,0)*'Control Panel'!$C$46),$A6*'Control Panel'!$B$49))</f>
        <v/>
      </c>
      <c r="I6" s="26">
        <f>(($A6+MIN((MIN(MAX(0,I$5-'Control Panel'!$C$38),'Control Panel'!$B$43)*'Control Panel'!$C$43+MIN(MAX(MAX(0,I$5-'Control Panel'!$C$38)-'Control Panel'!$B$43,0),'Control Panel'!$B$44-'Control Panel'!$B$43)*'Control Panel'!$C$44+MIN(MAX(MAX(0,I$5-'Control Panel'!$C$38)-'Control Panel'!$B$44,0),'Control Panel'!$B$45-'Control Panel'!$B$44)*'Control Panel'!$C$45+MAX(MAX(0,I$5-'Control Panel'!$C$38)-'Control Panel'!$B$45,0)*'Control Panel'!$C$46),$A6*'Control Panel'!$B$49))-('Control Panel'!$B$11+I$5*'Control Panel'!$B$10))/($A6+MIN((MIN(MAX(0,I$5-'Control Panel'!$C$38),'Control Panel'!$B$43)*'Control Panel'!$C$43+MIN(MAX(MAX(0,I$5-'Control Panel'!$C$38)-'Control Panel'!$B$43,0),'Control Panel'!$B$44-'Control Panel'!$B$43)*'Control Panel'!$C$44+MIN(MAX(MAX(0,I$5-'Control Panel'!$C$38)-'Control Panel'!$B$44,0),'Control Panel'!$B$45-'Control Panel'!$B$44)*'Control Panel'!$C$45+MAX(MAX(0,I$5-'Control Panel'!$C$38)-'Control Panel'!$B$45,0)*'Control Panel'!$C$46),$A6*'Control Panel'!$B$49))</f>
        <v/>
      </c>
      <c r="J6" s="26">
        <f>(($A6+MIN((MIN(MAX(0,J$5-'Control Panel'!$C$38),'Control Panel'!$B$43)*'Control Panel'!$C$43+MIN(MAX(MAX(0,J$5-'Control Panel'!$C$38)-'Control Panel'!$B$43,0),'Control Panel'!$B$44-'Control Panel'!$B$43)*'Control Panel'!$C$44+MIN(MAX(MAX(0,J$5-'Control Panel'!$C$38)-'Control Panel'!$B$44,0),'Control Panel'!$B$45-'Control Panel'!$B$44)*'Control Panel'!$C$45+MAX(MAX(0,J$5-'Control Panel'!$C$38)-'Control Panel'!$B$45,0)*'Control Panel'!$C$46),$A6*'Control Panel'!$B$49))-('Control Panel'!$B$11+J$5*'Control Panel'!$B$10))/($A6+MIN((MIN(MAX(0,J$5-'Control Panel'!$C$38),'Control Panel'!$B$43)*'Control Panel'!$C$43+MIN(MAX(MAX(0,J$5-'Control Panel'!$C$38)-'Control Panel'!$B$43,0),'Control Panel'!$B$44-'Control Panel'!$B$43)*'Control Panel'!$C$44+MIN(MAX(MAX(0,J$5-'Control Panel'!$C$38)-'Control Panel'!$B$44,0),'Control Panel'!$B$45-'Control Panel'!$B$44)*'Control Panel'!$C$45+MAX(MAX(0,J$5-'Control Panel'!$C$38)-'Control Panel'!$B$45,0)*'Control Panel'!$C$46),$A6*'Control Panel'!$B$49))</f>
        <v/>
      </c>
      <c r="K6" s="26">
        <f>(($A6+MIN((MIN(MAX(0,K$5-'Control Panel'!$C$38),'Control Panel'!$B$43)*'Control Panel'!$C$43+MIN(MAX(MAX(0,K$5-'Control Panel'!$C$38)-'Control Panel'!$B$43,0),'Control Panel'!$B$44-'Control Panel'!$B$43)*'Control Panel'!$C$44+MIN(MAX(MAX(0,K$5-'Control Panel'!$C$38)-'Control Panel'!$B$44,0),'Control Panel'!$B$45-'Control Panel'!$B$44)*'Control Panel'!$C$45+MAX(MAX(0,K$5-'Control Panel'!$C$38)-'Control Panel'!$B$45,0)*'Control Panel'!$C$46),$A6*'Control Panel'!$B$49))-('Control Panel'!$B$11+K$5*'Control Panel'!$B$10))/($A6+MIN((MIN(MAX(0,K$5-'Control Panel'!$C$38),'Control Panel'!$B$43)*'Control Panel'!$C$43+MIN(MAX(MAX(0,K$5-'Control Panel'!$C$38)-'Control Panel'!$B$43,0),'Control Panel'!$B$44-'Control Panel'!$B$43)*'Control Panel'!$C$44+MIN(MAX(MAX(0,K$5-'Control Panel'!$C$38)-'Control Panel'!$B$44,0),'Control Panel'!$B$45-'Control Panel'!$B$44)*'Control Panel'!$C$45+MAX(MAX(0,K$5-'Control Panel'!$C$38)-'Control Panel'!$B$45,0)*'Control Panel'!$C$46),$A6*'Control Panel'!$B$49))</f>
        <v/>
      </c>
    </row>
    <row r="7">
      <c r="A7" s="17" t="n">
        <v>299</v>
      </c>
      <c r="B7" s="26">
        <f>(($A7+MIN((MIN(MAX(0,B$5-'Control Panel'!$C$38),'Control Panel'!$B$43)*'Control Panel'!$C$43+MIN(MAX(MAX(0,B$5-'Control Panel'!$C$38)-'Control Panel'!$B$43,0),'Control Panel'!$B$44-'Control Panel'!$B$43)*'Control Panel'!$C$44+MIN(MAX(MAX(0,B$5-'Control Panel'!$C$38)-'Control Panel'!$B$44,0),'Control Panel'!$B$45-'Control Panel'!$B$44)*'Control Panel'!$C$45+MAX(MAX(0,B$5-'Control Panel'!$C$38)-'Control Panel'!$B$45,0)*'Control Panel'!$C$46),$A7*'Control Panel'!$B$49))-('Control Panel'!$B$11+B$5*'Control Panel'!$B$10))/($A7+MIN((MIN(MAX(0,B$5-'Control Panel'!$C$38),'Control Panel'!$B$43)*'Control Panel'!$C$43+MIN(MAX(MAX(0,B$5-'Control Panel'!$C$38)-'Control Panel'!$B$43,0),'Control Panel'!$B$44-'Control Panel'!$B$43)*'Control Panel'!$C$44+MIN(MAX(MAX(0,B$5-'Control Panel'!$C$38)-'Control Panel'!$B$44,0),'Control Panel'!$B$45-'Control Panel'!$B$44)*'Control Panel'!$C$45+MAX(MAX(0,B$5-'Control Panel'!$C$38)-'Control Panel'!$B$45,0)*'Control Panel'!$C$46),$A7*'Control Panel'!$B$49))</f>
        <v/>
      </c>
      <c r="C7" s="26">
        <f>(($A7+MIN((MIN(MAX(0,C$5-'Control Panel'!$C$38),'Control Panel'!$B$43)*'Control Panel'!$C$43+MIN(MAX(MAX(0,C$5-'Control Panel'!$C$38)-'Control Panel'!$B$43,0),'Control Panel'!$B$44-'Control Panel'!$B$43)*'Control Panel'!$C$44+MIN(MAX(MAX(0,C$5-'Control Panel'!$C$38)-'Control Panel'!$B$44,0),'Control Panel'!$B$45-'Control Panel'!$B$44)*'Control Panel'!$C$45+MAX(MAX(0,C$5-'Control Panel'!$C$38)-'Control Panel'!$B$45,0)*'Control Panel'!$C$46),$A7*'Control Panel'!$B$49))-('Control Panel'!$B$11+C$5*'Control Panel'!$B$10))/($A7+MIN((MIN(MAX(0,C$5-'Control Panel'!$C$38),'Control Panel'!$B$43)*'Control Panel'!$C$43+MIN(MAX(MAX(0,C$5-'Control Panel'!$C$38)-'Control Panel'!$B$43,0),'Control Panel'!$B$44-'Control Panel'!$B$43)*'Control Panel'!$C$44+MIN(MAX(MAX(0,C$5-'Control Panel'!$C$38)-'Control Panel'!$B$44,0),'Control Panel'!$B$45-'Control Panel'!$B$44)*'Control Panel'!$C$45+MAX(MAX(0,C$5-'Control Panel'!$C$38)-'Control Panel'!$B$45,0)*'Control Panel'!$C$46),$A7*'Control Panel'!$B$49))</f>
        <v/>
      </c>
      <c r="D7" s="26">
        <f>(($A7+MIN((MIN(MAX(0,D$5-'Control Panel'!$C$38),'Control Panel'!$B$43)*'Control Panel'!$C$43+MIN(MAX(MAX(0,D$5-'Control Panel'!$C$38)-'Control Panel'!$B$43,0),'Control Panel'!$B$44-'Control Panel'!$B$43)*'Control Panel'!$C$44+MIN(MAX(MAX(0,D$5-'Control Panel'!$C$38)-'Control Panel'!$B$44,0),'Control Panel'!$B$45-'Control Panel'!$B$44)*'Control Panel'!$C$45+MAX(MAX(0,D$5-'Control Panel'!$C$38)-'Control Panel'!$B$45,0)*'Control Panel'!$C$46),$A7*'Control Panel'!$B$49))-('Control Panel'!$B$11+D$5*'Control Panel'!$B$10))/($A7+MIN((MIN(MAX(0,D$5-'Control Panel'!$C$38),'Control Panel'!$B$43)*'Control Panel'!$C$43+MIN(MAX(MAX(0,D$5-'Control Panel'!$C$38)-'Control Panel'!$B$43,0),'Control Panel'!$B$44-'Control Panel'!$B$43)*'Control Panel'!$C$44+MIN(MAX(MAX(0,D$5-'Control Panel'!$C$38)-'Control Panel'!$B$44,0),'Control Panel'!$B$45-'Control Panel'!$B$44)*'Control Panel'!$C$45+MAX(MAX(0,D$5-'Control Panel'!$C$38)-'Control Panel'!$B$45,0)*'Control Panel'!$C$46),$A7*'Control Panel'!$B$49))</f>
        <v/>
      </c>
      <c r="E7" s="26">
        <f>(($A7+MIN((MIN(MAX(0,E$5-'Control Panel'!$C$38),'Control Panel'!$B$43)*'Control Panel'!$C$43+MIN(MAX(MAX(0,E$5-'Control Panel'!$C$38)-'Control Panel'!$B$43,0),'Control Panel'!$B$44-'Control Panel'!$B$43)*'Control Panel'!$C$44+MIN(MAX(MAX(0,E$5-'Control Panel'!$C$38)-'Control Panel'!$B$44,0),'Control Panel'!$B$45-'Control Panel'!$B$44)*'Control Panel'!$C$45+MAX(MAX(0,E$5-'Control Panel'!$C$38)-'Control Panel'!$B$45,0)*'Control Panel'!$C$46),$A7*'Control Panel'!$B$49))-('Control Panel'!$B$11+E$5*'Control Panel'!$B$10))/($A7+MIN((MIN(MAX(0,E$5-'Control Panel'!$C$38),'Control Panel'!$B$43)*'Control Panel'!$C$43+MIN(MAX(MAX(0,E$5-'Control Panel'!$C$38)-'Control Panel'!$B$43,0),'Control Panel'!$B$44-'Control Panel'!$B$43)*'Control Panel'!$C$44+MIN(MAX(MAX(0,E$5-'Control Panel'!$C$38)-'Control Panel'!$B$44,0),'Control Panel'!$B$45-'Control Panel'!$B$44)*'Control Panel'!$C$45+MAX(MAX(0,E$5-'Control Panel'!$C$38)-'Control Panel'!$B$45,0)*'Control Panel'!$C$46),$A7*'Control Panel'!$B$49))</f>
        <v/>
      </c>
      <c r="F7" s="26">
        <f>(($A7+MIN((MIN(MAX(0,F$5-'Control Panel'!$C$38),'Control Panel'!$B$43)*'Control Panel'!$C$43+MIN(MAX(MAX(0,F$5-'Control Panel'!$C$38)-'Control Panel'!$B$43,0),'Control Panel'!$B$44-'Control Panel'!$B$43)*'Control Panel'!$C$44+MIN(MAX(MAX(0,F$5-'Control Panel'!$C$38)-'Control Panel'!$B$44,0),'Control Panel'!$B$45-'Control Panel'!$B$44)*'Control Panel'!$C$45+MAX(MAX(0,F$5-'Control Panel'!$C$38)-'Control Panel'!$B$45,0)*'Control Panel'!$C$46),$A7*'Control Panel'!$B$49))-('Control Panel'!$B$11+F$5*'Control Panel'!$B$10))/($A7+MIN((MIN(MAX(0,F$5-'Control Panel'!$C$38),'Control Panel'!$B$43)*'Control Panel'!$C$43+MIN(MAX(MAX(0,F$5-'Control Panel'!$C$38)-'Control Panel'!$B$43,0),'Control Panel'!$B$44-'Control Panel'!$B$43)*'Control Panel'!$C$44+MIN(MAX(MAX(0,F$5-'Control Panel'!$C$38)-'Control Panel'!$B$44,0),'Control Panel'!$B$45-'Control Panel'!$B$44)*'Control Panel'!$C$45+MAX(MAX(0,F$5-'Control Panel'!$C$38)-'Control Panel'!$B$45,0)*'Control Panel'!$C$46),$A7*'Control Panel'!$B$49))</f>
        <v/>
      </c>
      <c r="G7" s="26">
        <f>(($A7+MIN((MIN(MAX(0,G$5-'Control Panel'!$C$38),'Control Panel'!$B$43)*'Control Panel'!$C$43+MIN(MAX(MAX(0,G$5-'Control Panel'!$C$38)-'Control Panel'!$B$43,0),'Control Panel'!$B$44-'Control Panel'!$B$43)*'Control Panel'!$C$44+MIN(MAX(MAX(0,G$5-'Control Panel'!$C$38)-'Control Panel'!$B$44,0),'Control Panel'!$B$45-'Control Panel'!$B$44)*'Control Panel'!$C$45+MAX(MAX(0,G$5-'Control Panel'!$C$38)-'Control Panel'!$B$45,0)*'Control Panel'!$C$46),$A7*'Control Panel'!$B$49))-('Control Panel'!$B$11+G$5*'Control Panel'!$B$10))/($A7+MIN((MIN(MAX(0,G$5-'Control Panel'!$C$38),'Control Panel'!$B$43)*'Control Panel'!$C$43+MIN(MAX(MAX(0,G$5-'Control Panel'!$C$38)-'Control Panel'!$B$43,0),'Control Panel'!$B$44-'Control Panel'!$B$43)*'Control Panel'!$C$44+MIN(MAX(MAX(0,G$5-'Control Panel'!$C$38)-'Control Panel'!$B$44,0),'Control Panel'!$B$45-'Control Panel'!$B$44)*'Control Panel'!$C$45+MAX(MAX(0,G$5-'Control Panel'!$C$38)-'Control Panel'!$B$45,0)*'Control Panel'!$C$46),$A7*'Control Panel'!$B$49))</f>
        <v/>
      </c>
      <c r="H7" s="26">
        <f>(($A7+MIN((MIN(MAX(0,H$5-'Control Panel'!$C$38),'Control Panel'!$B$43)*'Control Panel'!$C$43+MIN(MAX(MAX(0,H$5-'Control Panel'!$C$38)-'Control Panel'!$B$43,0),'Control Panel'!$B$44-'Control Panel'!$B$43)*'Control Panel'!$C$44+MIN(MAX(MAX(0,H$5-'Control Panel'!$C$38)-'Control Panel'!$B$44,0),'Control Panel'!$B$45-'Control Panel'!$B$44)*'Control Panel'!$C$45+MAX(MAX(0,H$5-'Control Panel'!$C$38)-'Control Panel'!$B$45,0)*'Control Panel'!$C$46),$A7*'Control Panel'!$B$49))-('Control Panel'!$B$11+H$5*'Control Panel'!$B$10))/($A7+MIN((MIN(MAX(0,H$5-'Control Panel'!$C$38),'Control Panel'!$B$43)*'Control Panel'!$C$43+MIN(MAX(MAX(0,H$5-'Control Panel'!$C$38)-'Control Panel'!$B$43,0),'Control Panel'!$B$44-'Control Panel'!$B$43)*'Control Panel'!$C$44+MIN(MAX(MAX(0,H$5-'Control Panel'!$C$38)-'Control Panel'!$B$44,0),'Control Panel'!$B$45-'Control Panel'!$B$44)*'Control Panel'!$C$45+MAX(MAX(0,H$5-'Control Panel'!$C$38)-'Control Panel'!$B$45,0)*'Control Panel'!$C$46),$A7*'Control Panel'!$B$49))</f>
        <v/>
      </c>
      <c r="I7" s="26">
        <f>(($A7+MIN((MIN(MAX(0,I$5-'Control Panel'!$C$38),'Control Panel'!$B$43)*'Control Panel'!$C$43+MIN(MAX(MAX(0,I$5-'Control Panel'!$C$38)-'Control Panel'!$B$43,0),'Control Panel'!$B$44-'Control Panel'!$B$43)*'Control Panel'!$C$44+MIN(MAX(MAX(0,I$5-'Control Panel'!$C$38)-'Control Panel'!$B$44,0),'Control Panel'!$B$45-'Control Panel'!$B$44)*'Control Panel'!$C$45+MAX(MAX(0,I$5-'Control Panel'!$C$38)-'Control Panel'!$B$45,0)*'Control Panel'!$C$46),$A7*'Control Panel'!$B$49))-('Control Panel'!$B$11+I$5*'Control Panel'!$B$10))/($A7+MIN((MIN(MAX(0,I$5-'Control Panel'!$C$38),'Control Panel'!$B$43)*'Control Panel'!$C$43+MIN(MAX(MAX(0,I$5-'Control Panel'!$C$38)-'Control Panel'!$B$43,0),'Control Panel'!$B$44-'Control Panel'!$B$43)*'Control Panel'!$C$44+MIN(MAX(MAX(0,I$5-'Control Panel'!$C$38)-'Control Panel'!$B$44,0),'Control Panel'!$B$45-'Control Panel'!$B$44)*'Control Panel'!$C$45+MAX(MAX(0,I$5-'Control Panel'!$C$38)-'Control Panel'!$B$45,0)*'Control Panel'!$C$46),$A7*'Control Panel'!$B$49))</f>
        <v/>
      </c>
      <c r="J7" s="26">
        <f>(($A7+MIN((MIN(MAX(0,J$5-'Control Panel'!$C$38),'Control Panel'!$B$43)*'Control Panel'!$C$43+MIN(MAX(MAX(0,J$5-'Control Panel'!$C$38)-'Control Panel'!$B$43,0),'Control Panel'!$B$44-'Control Panel'!$B$43)*'Control Panel'!$C$44+MIN(MAX(MAX(0,J$5-'Control Panel'!$C$38)-'Control Panel'!$B$44,0),'Control Panel'!$B$45-'Control Panel'!$B$44)*'Control Panel'!$C$45+MAX(MAX(0,J$5-'Control Panel'!$C$38)-'Control Panel'!$B$45,0)*'Control Panel'!$C$46),$A7*'Control Panel'!$B$49))-('Control Panel'!$B$11+J$5*'Control Panel'!$B$10))/($A7+MIN((MIN(MAX(0,J$5-'Control Panel'!$C$38),'Control Panel'!$B$43)*'Control Panel'!$C$43+MIN(MAX(MAX(0,J$5-'Control Panel'!$C$38)-'Control Panel'!$B$43,0),'Control Panel'!$B$44-'Control Panel'!$B$43)*'Control Panel'!$C$44+MIN(MAX(MAX(0,J$5-'Control Panel'!$C$38)-'Control Panel'!$B$44,0),'Control Panel'!$B$45-'Control Panel'!$B$44)*'Control Panel'!$C$45+MAX(MAX(0,J$5-'Control Panel'!$C$38)-'Control Panel'!$B$45,0)*'Control Panel'!$C$46),$A7*'Control Panel'!$B$49))</f>
        <v/>
      </c>
      <c r="K7" s="26">
        <f>(($A7+MIN((MIN(MAX(0,K$5-'Control Panel'!$C$38),'Control Panel'!$B$43)*'Control Panel'!$C$43+MIN(MAX(MAX(0,K$5-'Control Panel'!$C$38)-'Control Panel'!$B$43,0),'Control Panel'!$B$44-'Control Panel'!$B$43)*'Control Panel'!$C$44+MIN(MAX(MAX(0,K$5-'Control Panel'!$C$38)-'Control Panel'!$B$44,0),'Control Panel'!$B$45-'Control Panel'!$B$44)*'Control Panel'!$C$45+MAX(MAX(0,K$5-'Control Panel'!$C$38)-'Control Panel'!$B$45,0)*'Control Panel'!$C$46),$A7*'Control Panel'!$B$49))-('Control Panel'!$B$11+K$5*'Control Panel'!$B$10))/($A7+MIN((MIN(MAX(0,K$5-'Control Panel'!$C$38),'Control Panel'!$B$43)*'Control Panel'!$C$43+MIN(MAX(MAX(0,K$5-'Control Panel'!$C$38)-'Control Panel'!$B$43,0),'Control Panel'!$B$44-'Control Panel'!$B$43)*'Control Panel'!$C$44+MIN(MAX(MAX(0,K$5-'Control Panel'!$C$38)-'Control Panel'!$B$44,0),'Control Panel'!$B$45-'Control Panel'!$B$44)*'Control Panel'!$C$45+MAX(MAX(0,K$5-'Control Panel'!$C$38)-'Control Panel'!$B$45,0)*'Control Panel'!$C$46),$A7*'Control Panel'!$B$49))</f>
        <v/>
      </c>
    </row>
    <row r="8">
      <c r="A8" s="17" t="n">
        <v>349</v>
      </c>
      <c r="B8" s="26">
        <f>(($A8+MIN((MIN(MAX(0,B$5-'Control Panel'!$C$38),'Control Panel'!$B$43)*'Control Panel'!$C$43+MIN(MAX(MAX(0,B$5-'Control Panel'!$C$38)-'Control Panel'!$B$43,0),'Control Panel'!$B$44-'Control Panel'!$B$43)*'Control Panel'!$C$44+MIN(MAX(MAX(0,B$5-'Control Panel'!$C$38)-'Control Panel'!$B$44,0),'Control Panel'!$B$45-'Control Panel'!$B$44)*'Control Panel'!$C$45+MAX(MAX(0,B$5-'Control Panel'!$C$38)-'Control Panel'!$B$45,0)*'Control Panel'!$C$46),$A8*'Control Panel'!$B$49))-('Control Panel'!$B$11+B$5*'Control Panel'!$B$10))/($A8+MIN((MIN(MAX(0,B$5-'Control Panel'!$C$38),'Control Panel'!$B$43)*'Control Panel'!$C$43+MIN(MAX(MAX(0,B$5-'Control Panel'!$C$38)-'Control Panel'!$B$43,0),'Control Panel'!$B$44-'Control Panel'!$B$43)*'Control Panel'!$C$44+MIN(MAX(MAX(0,B$5-'Control Panel'!$C$38)-'Control Panel'!$B$44,0),'Control Panel'!$B$45-'Control Panel'!$B$44)*'Control Panel'!$C$45+MAX(MAX(0,B$5-'Control Panel'!$C$38)-'Control Panel'!$B$45,0)*'Control Panel'!$C$46),$A8*'Control Panel'!$B$49))</f>
        <v/>
      </c>
      <c r="C8" s="26">
        <f>(($A8+MIN((MIN(MAX(0,C$5-'Control Panel'!$C$38),'Control Panel'!$B$43)*'Control Panel'!$C$43+MIN(MAX(MAX(0,C$5-'Control Panel'!$C$38)-'Control Panel'!$B$43,0),'Control Panel'!$B$44-'Control Panel'!$B$43)*'Control Panel'!$C$44+MIN(MAX(MAX(0,C$5-'Control Panel'!$C$38)-'Control Panel'!$B$44,0),'Control Panel'!$B$45-'Control Panel'!$B$44)*'Control Panel'!$C$45+MAX(MAX(0,C$5-'Control Panel'!$C$38)-'Control Panel'!$B$45,0)*'Control Panel'!$C$46),$A8*'Control Panel'!$B$49))-('Control Panel'!$B$11+C$5*'Control Panel'!$B$10))/($A8+MIN((MIN(MAX(0,C$5-'Control Panel'!$C$38),'Control Panel'!$B$43)*'Control Panel'!$C$43+MIN(MAX(MAX(0,C$5-'Control Panel'!$C$38)-'Control Panel'!$B$43,0),'Control Panel'!$B$44-'Control Panel'!$B$43)*'Control Panel'!$C$44+MIN(MAX(MAX(0,C$5-'Control Panel'!$C$38)-'Control Panel'!$B$44,0),'Control Panel'!$B$45-'Control Panel'!$B$44)*'Control Panel'!$C$45+MAX(MAX(0,C$5-'Control Panel'!$C$38)-'Control Panel'!$B$45,0)*'Control Panel'!$C$46),$A8*'Control Panel'!$B$49))</f>
        <v/>
      </c>
      <c r="D8" s="26">
        <f>(($A8+MIN((MIN(MAX(0,D$5-'Control Panel'!$C$38),'Control Panel'!$B$43)*'Control Panel'!$C$43+MIN(MAX(MAX(0,D$5-'Control Panel'!$C$38)-'Control Panel'!$B$43,0),'Control Panel'!$B$44-'Control Panel'!$B$43)*'Control Panel'!$C$44+MIN(MAX(MAX(0,D$5-'Control Panel'!$C$38)-'Control Panel'!$B$44,0),'Control Panel'!$B$45-'Control Panel'!$B$44)*'Control Panel'!$C$45+MAX(MAX(0,D$5-'Control Panel'!$C$38)-'Control Panel'!$B$45,0)*'Control Panel'!$C$46),$A8*'Control Panel'!$B$49))-('Control Panel'!$B$11+D$5*'Control Panel'!$B$10))/($A8+MIN((MIN(MAX(0,D$5-'Control Panel'!$C$38),'Control Panel'!$B$43)*'Control Panel'!$C$43+MIN(MAX(MAX(0,D$5-'Control Panel'!$C$38)-'Control Panel'!$B$43,0),'Control Panel'!$B$44-'Control Panel'!$B$43)*'Control Panel'!$C$44+MIN(MAX(MAX(0,D$5-'Control Panel'!$C$38)-'Control Panel'!$B$44,0),'Control Panel'!$B$45-'Control Panel'!$B$44)*'Control Panel'!$C$45+MAX(MAX(0,D$5-'Control Panel'!$C$38)-'Control Panel'!$B$45,0)*'Control Panel'!$C$46),$A8*'Control Panel'!$B$49))</f>
        <v/>
      </c>
      <c r="E8" s="26">
        <f>(($A8+MIN((MIN(MAX(0,E$5-'Control Panel'!$C$38),'Control Panel'!$B$43)*'Control Panel'!$C$43+MIN(MAX(MAX(0,E$5-'Control Panel'!$C$38)-'Control Panel'!$B$43,0),'Control Panel'!$B$44-'Control Panel'!$B$43)*'Control Panel'!$C$44+MIN(MAX(MAX(0,E$5-'Control Panel'!$C$38)-'Control Panel'!$B$44,0),'Control Panel'!$B$45-'Control Panel'!$B$44)*'Control Panel'!$C$45+MAX(MAX(0,E$5-'Control Panel'!$C$38)-'Control Panel'!$B$45,0)*'Control Panel'!$C$46),$A8*'Control Panel'!$B$49))-('Control Panel'!$B$11+E$5*'Control Panel'!$B$10))/($A8+MIN((MIN(MAX(0,E$5-'Control Panel'!$C$38),'Control Panel'!$B$43)*'Control Panel'!$C$43+MIN(MAX(MAX(0,E$5-'Control Panel'!$C$38)-'Control Panel'!$B$43,0),'Control Panel'!$B$44-'Control Panel'!$B$43)*'Control Panel'!$C$44+MIN(MAX(MAX(0,E$5-'Control Panel'!$C$38)-'Control Panel'!$B$44,0),'Control Panel'!$B$45-'Control Panel'!$B$44)*'Control Panel'!$C$45+MAX(MAX(0,E$5-'Control Panel'!$C$38)-'Control Panel'!$B$45,0)*'Control Panel'!$C$46),$A8*'Control Panel'!$B$49))</f>
        <v/>
      </c>
      <c r="F8" s="26">
        <f>(($A8+MIN((MIN(MAX(0,F$5-'Control Panel'!$C$38),'Control Panel'!$B$43)*'Control Panel'!$C$43+MIN(MAX(MAX(0,F$5-'Control Panel'!$C$38)-'Control Panel'!$B$43,0),'Control Panel'!$B$44-'Control Panel'!$B$43)*'Control Panel'!$C$44+MIN(MAX(MAX(0,F$5-'Control Panel'!$C$38)-'Control Panel'!$B$44,0),'Control Panel'!$B$45-'Control Panel'!$B$44)*'Control Panel'!$C$45+MAX(MAX(0,F$5-'Control Panel'!$C$38)-'Control Panel'!$B$45,0)*'Control Panel'!$C$46),$A8*'Control Panel'!$B$49))-('Control Panel'!$B$11+F$5*'Control Panel'!$B$10))/($A8+MIN((MIN(MAX(0,F$5-'Control Panel'!$C$38),'Control Panel'!$B$43)*'Control Panel'!$C$43+MIN(MAX(MAX(0,F$5-'Control Panel'!$C$38)-'Control Panel'!$B$43,0),'Control Panel'!$B$44-'Control Panel'!$B$43)*'Control Panel'!$C$44+MIN(MAX(MAX(0,F$5-'Control Panel'!$C$38)-'Control Panel'!$B$44,0),'Control Panel'!$B$45-'Control Panel'!$B$44)*'Control Panel'!$C$45+MAX(MAX(0,F$5-'Control Panel'!$C$38)-'Control Panel'!$B$45,0)*'Control Panel'!$C$46),$A8*'Control Panel'!$B$49))</f>
        <v/>
      </c>
      <c r="G8" s="26">
        <f>(($A8+MIN((MIN(MAX(0,G$5-'Control Panel'!$C$38),'Control Panel'!$B$43)*'Control Panel'!$C$43+MIN(MAX(MAX(0,G$5-'Control Panel'!$C$38)-'Control Panel'!$B$43,0),'Control Panel'!$B$44-'Control Panel'!$B$43)*'Control Panel'!$C$44+MIN(MAX(MAX(0,G$5-'Control Panel'!$C$38)-'Control Panel'!$B$44,0),'Control Panel'!$B$45-'Control Panel'!$B$44)*'Control Panel'!$C$45+MAX(MAX(0,G$5-'Control Panel'!$C$38)-'Control Panel'!$B$45,0)*'Control Panel'!$C$46),$A8*'Control Panel'!$B$49))-('Control Panel'!$B$11+G$5*'Control Panel'!$B$10))/($A8+MIN((MIN(MAX(0,G$5-'Control Panel'!$C$38),'Control Panel'!$B$43)*'Control Panel'!$C$43+MIN(MAX(MAX(0,G$5-'Control Panel'!$C$38)-'Control Panel'!$B$43,0),'Control Panel'!$B$44-'Control Panel'!$B$43)*'Control Panel'!$C$44+MIN(MAX(MAX(0,G$5-'Control Panel'!$C$38)-'Control Panel'!$B$44,0),'Control Panel'!$B$45-'Control Panel'!$B$44)*'Control Panel'!$C$45+MAX(MAX(0,G$5-'Control Panel'!$C$38)-'Control Panel'!$B$45,0)*'Control Panel'!$C$46),$A8*'Control Panel'!$B$49))</f>
        <v/>
      </c>
      <c r="H8" s="26">
        <f>(($A8+MIN((MIN(MAX(0,H$5-'Control Panel'!$C$38),'Control Panel'!$B$43)*'Control Panel'!$C$43+MIN(MAX(MAX(0,H$5-'Control Panel'!$C$38)-'Control Panel'!$B$43,0),'Control Panel'!$B$44-'Control Panel'!$B$43)*'Control Panel'!$C$44+MIN(MAX(MAX(0,H$5-'Control Panel'!$C$38)-'Control Panel'!$B$44,0),'Control Panel'!$B$45-'Control Panel'!$B$44)*'Control Panel'!$C$45+MAX(MAX(0,H$5-'Control Panel'!$C$38)-'Control Panel'!$B$45,0)*'Control Panel'!$C$46),$A8*'Control Panel'!$B$49))-('Control Panel'!$B$11+H$5*'Control Panel'!$B$10))/($A8+MIN((MIN(MAX(0,H$5-'Control Panel'!$C$38),'Control Panel'!$B$43)*'Control Panel'!$C$43+MIN(MAX(MAX(0,H$5-'Control Panel'!$C$38)-'Control Panel'!$B$43,0),'Control Panel'!$B$44-'Control Panel'!$B$43)*'Control Panel'!$C$44+MIN(MAX(MAX(0,H$5-'Control Panel'!$C$38)-'Control Panel'!$B$44,0),'Control Panel'!$B$45-'Control Panel'!$B$44)*'Control Panel'!$C$45+MAX(MAX(0,H$5-'Control Panel'!$C$38)-'Control Panel'!$B$45,0)*'Control Panel'!$C$46),$A8*'Control Panel'!$B$49))</f>
        <v/>
      </c>
      <c r="I8" s="26">
        <f>(($A8+MIN((MIN(MAX(0,I$5-'Control Panel'!$C$38),'Control Panel'!$B$43)*'Control Panel'!$C$43+MIN(MAX(MAX(0,I$5-'Control Panel'!$C$38)-'Control Panel'!$B$43,0),'Control Panel'!$B$44-'Control Panel'!$B$43)*'Control Panel'!$C$44+MIN(MAX(MAX(0,I$5-'Control Panel'!$C$38)-'Control Panel'!$B$44,0),'Control Panel'!$B$45-'Control Panel'!$B$44)*'Control Panel'!$C$45+MAX(MAX(0,I$5-'Control Panel'!$C$38)-'Control Panel'!$B$45,0)*'Control Panel'!$C$46),$A8*'Control Panel'!$B$49))-('Control Panel'!$B$11+I$5*'Control Panel'!$B$10))/($A8+MIN((MIN(MAX(0,I$5-'Control Panel'!$C$38),'Control Panel'!$B$43)*'Control Panel'!$C$43+MIN(MAX(MAX(0,I$5-'Control Panel'!$C$38)-'Control Panel'!$B$43,0),'Control Panel'!$B$44-'Control Panel'!$B$43)*'Control Panel'!$C$44+MIN(MAX(MAX(0,I$5-'Control Panel'!$C$38)-'Control Panel'!$B$44,0),'Control Panel'!$B$45-'Control Panel'!$B$44)*'Control Panel'!$C$45+MAX(MAX(0,I$5-'Control Panel'!$C$38)-'Control Panel'!$B$45,0)*'Control Panel'!$C$46),$A8*'Control Panel'!$B$49))</f>
        <v/>
      </c>
      <c r="J8" s="26">
        <f>(($A8+MIN((MIN(MAX(0,J$5-'Control Panel'!$C$38),'Control Panel'!$B$43)*'Control Panel'!$C$43+MIN(MAX(MAX(0,J$5-'Control Panel'!$C$38)-'Control Panel'!$B$43,0),'Control Panel'!$B$44-'Control Panel'!$B$43)*'Control Panel'!$C$44+MIN(MAX(MAX(0,J$5-'Control Panel'!$C$38)-'Control Panel'!$B$44,0),'Control Panel'!$B$45-'Control Panel'!$B$44)*'Control Panel'!$C$45+MAX(MAX(0,J$5-'Control Panel'!$C$38)-'Control Panel'!$B$45,0)*'Control Panel'!$C$46),$A8*'Control Panel'!$B$49))-('Control Panel'!$B$11+J$5*'Control Panel'!$B$10))/($A8+MIN((MIN(MAX(0,J$5-'Control Panel'!$C$38),'Control Panel'!$B$43)*'Control Panel'!$C$43+MIN(MAX(MAX(0,J$5-'Control Panel'!$C$38)-'Control Panel'!$B$43,0),'Control Panel'!$B$44-'Control Panel'!$B$43)*'Control Panel'!$C$44+MIN(MAX(MAX(0,J$5-'Control Panel'!$C$38)-'Control Panel'!$B$44,0),'Control Panel'!$B$45-'Control Panel'!$B$44)*'Control Panel'!$C$45+MAX(MAX(0,J$5-'Control Panel'!$C$38)-'Control Panel'!$B$45,0)*'Control Panel'!$C$46),$A8*'Control Panel'!$B$49))</f>
        <v/>
      </c>
      <c r="K8" s="26">
        <f>(($A8+MIN((MIN(MAX(0,K$5-'Control Panel'!$C$38),'Control Panel'!$B$43)*'Control Panel'!$C$43+MIN(MAX(MAX(0,K$5-'Control Panel'!$C$38)-'Control Panel'!$B$43,0),'Control Panel'!$B$44-'Control Panel'!$B$43)*'Control Panel'!$C$44+MIN(MAX(MAX(0,K$5-'Control Panel'!$C$38)-'Control Panel'!$B$44,0),'Control Panel'!$B$45-'Control Panel'!$B$44)*'Control Panel'!$C$45+MAX(MAX(0,K$5-'Control Panel'!$C$38)-'Control Panel'!$B$45,0)*'Control Panel'!$C$46),$A8*'Control Panel'!$B$49))-('Control Panel'!$B$11+K$5*'Control Panel'!$B$10))/($A8+MIN((MIN(MAX(0,K$5-'Control Panel'!$C$38),'Control Panel'!$B$43)*'Control Panel'!$C$43+MIN(MAX(MAX(0,K$5-'Control Panel'!$C$38)-'Control Panel'!$B$43,0),'Control Panel'!$B$44-'Control Panel'!$B$43)*'Control Panel'!$C$44+MIN(MAX(MAX(0,K$5-'Control Panel'!$C$38)-'Control Panel'!$B$44,0),'Control Panel'!$B$45-'Control Panel'!$B$44)*'Control Panel'!$C$45+MAX(MAX(0,K$5-'Control Panel'!$C$38)-'Control Panel'!$B$45,0)*'Control Panel'!$C$46),$A8*'Control Panel'!$B$49))</f>
        <v/>
      </c>
    </row>
    <row r="9">
      <c r="A9" s="17" t="n">
        <v>399</v>
      </c>
      <c r="B9" s="26">
        <f>(($A9+MIN((MIN(MAX(0,B$5-'Control Panel'!$C$38),'Control Panel'!$B$43)*'Control Panel'!$C$43+MIN(MAX(MAX(0,B$5-'Control Panel'!$C$38)-'Control Panel'!$B$43,0),'Control Panel'!$B$44-'Control Panel'!$B$43)*'Control Panel'!$C$44+MIN(MAX(MAX(0,B$5-'Control Panel'!$C$38)-'Control Panel'!$B$44,0),'Control Panel'!$B$45-'Control Panel'!$B$44)*'Control Panel'!$C$45+MAX(MAX(0,B$5-'Control Panel'!$C$38)-'Control Panel'!$B$45,0)*'Control Panel'!$C$46),$A9*'Control Panel'!$B$49))-('Control Panel'!$B$11+B$5*'Control Panel'!$B$10))/($A9+MIN((MIN(MAX(0,B$5-'Control Panel'!$C$38),'Control Panel'!$B$43)*'Control Panel'!$C$43+MIN(MAX(MAX(0,B$5-'Control Panel'!$C$38)-'Control Panel'!$B$43,0),'Control Panel'!$B$44-'Control Panel'!$B$43)*'Control Panel'!$C$44+MIN(MAX(MAX(0,B$5-'Control Panel'!$C$38)-'Control Panel'!$B$44,0),'Control Panel'!$B$45-'Control Panel'!$B$44)*'Control Panel'!$C$45+MAX(MAX(0,B$5-'Control Panel'!$C$38)-'Control Panel'!$B$45,0)*'Control Panel'!$C$46),$A9*'Control Panel'!$B$49))</f>
        <v/>
      </c>
      <c r="C9" s="26">
        <f>(($A9+MIN((MIN(MAX(0,C$5-'Control Panel'!$C$38),'Control Panel'!$B$43)*'Control Panel'!$C$43+MIN(MAX(MAX(0,C$5-'Control Panel'!$C$38)-'Control Panel'!$B$43,0),'Control Panel'!$B$44-'Control Panel'!$B$43)*'Control Panel'!$C$44+MIN(MAX(MAX(0,C$5-'Control Panel'!$C$38)-'Control Panel'!$B$44,0),'Control Panel'!$B$45-'Control Panel'!$B$44)*'Control Panel'!$C$45+MAX(MAX(0,C$5-'Control Panel'!$C$38)-'Control Panel'!$B$45,0)*'Control Panel'!$C$46),$A9*'Control Panel'!$B$49))-('Control Panel'!$B$11+C$5*'Control Panel'!$B$10))/($A9+MIN((MIN(MAX(0,C$5-'Control Panel'!$C$38),'Control Panel'!$B$43)*'Control Panel'!$C$43+MIN(MAX(MAX(0,C$5-'Control Panel'!$C$38)-'Control Panel'!$B$43,0),'Control Panel'!$B$44-'Control Panel'!$B$43)*'Control Panel'!$C$44+MIN(MAX(MAX(0,C$5-'Control Panel'!$C$38)-'Control Panel'!$B$44,0),'Control Panel'!$B$45-'Control Panel'!$B$44)*'Control Panel'!$C$45+MAX(MAX(0,C$5-'Control Panel'!$C$38)-'Control Panel'!$B$45,0)*'Control Panel'!$C$46),$A9*'Control Panel'!$B$49))</f>
        <v/>
      </c>
      <c r="D9" s="26">
        <f>(($A9+MIN((MIN(MAX(0,D$5-'Control Panel'!$C$38),'Control Panel'!$B$43)*'Control Panel'!$C$43+MIN(MAX(MAX(0,D$5-'Control Panel'!$C$38)-'Control Panel'!$B$43,0),'Control Panel'!$B$44-'Control Panel'!$B$43)*'Control Panel'!$C$44+MIN(MAX(MAX(0,D$5-'Control Panel'!$C$38)-'Control Panel'!$B$44,0),'Control Panel'!$B$45-'Control Panel'!$B$44)*'Control Panel'!$C$45+MAX(MAX(0,D$5-'Control Panel'!$C$38)-'Control Panel'!$B$45,0)*'Control Panel'!$C$46),$A9*'Control Panel'!$B$49))-('Control Panel'!$B$11+D$5*'Control Panel'!$B$10))/($A9+MIN((MIN(MAX(0,D$5-'Control Panel'!$C$38),'Control Panel'!$B$43)*'Control Panel'!$C$43+MIN(MAX(MAX(0,D$5-'Control Panel'!$C$38)-'Control Panel'!$B$43,0),'Control Panel'!$B$44-'Control Panel'!$B$43)*'Control Panel'!$C$44+MIN(MAX(MAX(0,D$5-'Control Panel'!$C$38)-'Control Panel'!$B$44,0),'Control Panel'!$B$45-'Control Panel'!$B$44)*'Control Panel'!$C$45+MAX(MAX(0,D$5-'Control Panel'!$C$38)-'Control Panel'!$B$45,0)*'Control Panel'!$C$46),$A9*'Control Panel'!$B$49))</f>
        <v/>
      </c>
      <c r="E9" s="26">
        <f>(($A9+MIN((MIN(MAX(0,E$5-'Control Panel'!$C$38),'Control Panel'!$B$43)*'Control Panel'!$C$43+MIN(MAX(MAX(0,E$5-'Control Panel'!$C$38)-'Control Panel'!$B$43,0),'Control Panel'!$B$44-'Control Panel'!$B$43)*'Control Panel'!$C$44+MIN(MAX(MAX(0,E$5-'Control Panel'!$C$38)-'Control Panel'!$B$44,0),'Control Panel'!$B$45-'Control Panel'!$B$44)*'Control Panel'!$C$45+MAX(MAX(0,E$5-'Control Panel'!$C$38)-'Control Panel'!$B$45,0)*'Control Panel'!$C$46),$A9*'Control Panel'!$B$49))-('Control Panel'!$B$11+E$5*'Control Panel'!$B$10))/($A9+MIN((MIN(MAX(0,E$5-'Control Panel'!$C$38),'Control Panel'!$B$43)*'Control Panel'!$C$43+MIN(MAX(MAX(0,E$5-'Control Panel'!$C$38)-'Control Panel'!$B$43,0),'Control Panel'!$B$44-'Control Panel'!$B$43)*'Control Panel'!$C$44+MIN(MAX(MAX(0,E$5-'Control Panel'!$C$38)-'Control Panel'!$B$44,0),'Control Panel'!$B$45-'Control Panel'!$B$44)*'Control Panel'!$C$45+MAX(MAX(0,E$5-'Control Panel'!$C$38)-'Control Panel'!$B$45,0)*'Control Panel'!$C$46),$A9*'Control Panel'!$B$49))</f>
        <v/>
      </c>
      <c r="F9" s="26">
        <f>(($A9+MIN((MIN(MAX(0,F$5-'Control Panel'!$C$38),'Control Panel'!$B$43)*'Control Panel'!$C$43+MIN(MAX(MAX(0,F$5-'Control Panel'!$C$38)-'Control Panel'!$B$43,0),'Control Panel'!$B$44-'Control Panel'!$B$43)*'Control Panel'!$C$44+MIN(MAX(MAX(0,F$5-'Control Panel'!$C$38)-'Control Panel'!$B$44,0),'Control Panel'!$B$45-'Control Panel'!$B$44)*'Control Panel'!$C$45+MAX(MAX(0,F$5-'Control Panel'!$C$38)-'Control Panel'!$B$45,0)*'Control Panel'!$C$46),$A9*'Control Panel'!$B$49))-('Control Panel'!$B$11+F$5*'Control Panel'!$B$10))/($A9+MIN((MIN(MAX(0,F$5-'Control Panel'!$C$38),'Control Panel'!$B$43)*'Control Panel'!$C$43+MIN(MAX(MAX(0,F$5-'Control Panel'!$C$38)-'Control Panel'!$B$43,0),'Control Panel'!$B$44-'Control Panel'!$B$43)*'Control Panel'!$C$44+MIN(MAX(MAX(0,F$5-'Control Panel'!$C$38)-'Control Panel'!$B$44,0),'Control Panel'!$B$45-'Control Panel'!$B$44)*'Control Panel'!$C$45+MAX(MAX(0,F$5-'Control Panel'!$C$38)-'Control Panel'!$B$45,0)*'Control Panel'!$C$46),$A9*'Control Panel'!$B$49))</f>
        <v/>
      </c>
      <c r="G9" s="26">
        <f>(($A9+MIN((MIN(MAX(0,G$5-'Control Panel'!$C$38),'Control Panel'!$B$43)*'Control Panel'!$C$43+MIN(MAX(MAX(0,G$5-'Control Panel'!$C$38)-'Control Panel'!$B$43,0),'Control Panel'!$B$44-'Control Panel'!$B$43)*'Control Panel'!$C$44+MIN(MAX(MAX(0,G$5-'Control Panel'!$C$38)-'Control Panel'!$B$44,0),'Control Panel'!$B$45-'Control Panel'!$B$44)*'Control Panel'!$C$45+MAX(MAX(0,G$5-'Control Panel'!$C$38)-'Control Panel'!$B$45,0)*'Control Panel'!$C$46),$A9*'Control Panel'!$B$49))-('Control Panel'!$B$11+G$5*'Control Panel'!$B$10))/($A9+MIN((MIN(MAX(0,G$5-'Control Panel'!$C$38),'Control Panel'!$B$43)*'Control Panel'!$C$43+MIN(MAX(MAX(0,G$5-'Control Panel'!$C$38)-'Control Panel'!$B$43,0),'Control Panel'!$B$44-'Control Panel'!$B$43)*'Control Panel'!$C$44+MIN(MAX(MAX(0,G$5-'Control Panel'!$C$38)-'Control Panel'!$B$44,0),'Control Panel'!$B$45-'Control Panel'!$B$44)*'Control Panel'!$C$45+MAX(MAX(0,G$5-'Control Panel'!$C$38)-'Control Panel'!$B$45,0)*'Control Panel'!$C$46),$A9*'Control Panel'!$B$49))</f>
        <v/>
      </c>
      <c r="H9" s="26">
        <f>(($A9+MIN((MIN(MAX(0,H$5-'Control Panel'!$C$38),'Control Panel'!$B$43)*'Control Panel'!$C$43+MIN(MAX(MAX(0,H$5-'Control Panel'!$C$38)-'Control Panel'!$B$43,0),'Control Panel'!$B$44-'Control Panel'!$B$43)*'Control Panel'!$C$44+MIN(MAX(MAX(0,H$5-'Control Panel'!$C$38)-'Control Panel'!$B$44,0),'Control Panel'!$B$45-'Control Panel'!$B$44)*'Control Panel'!$C$45+MAX(MAX(0,H$5-'Control Panel'!$C$38)-'Control Panel'!$B$45,0)*'Control Panel'!$C$46),$A9*'Control Panel'!$B$49))-('Control Panel'!$B$11+H$5*'Control Panel'!$B$10))/($A9+MIN((MIN(MAX(0,H$5-'Control Panel'!$C$38),'Control Panel'!$B$43)*'Control Panel'!$C$43+MIN(MAX(MAX(0,H$5-'Control Panel'!$C$38)-'Control Panel'!$B$43,0),'Control Panel'!$B$44-'Control Panel'!$B$43)*'Control Panel'!$C$44+MIN(MAX(MAX(0,H$5-'Control Panel'!$C$38)-'Control Panel'!$B$44,0),'Control Panel'!$B$45-'Control Panel'!$B$44)*'Control Panel'!$C$45+MAX(MAX(0,H$5-'Control Panel'!$C$38)-'Control Panel'!$B$45,0)*'Control Panel'!$C$46),$A9*'Control Panel'!$B$49))</f>
        <v/>
      </c>
      <c r="I9" s="26">
        <f>(($A9+MIN((MIN(MAX(0,I$5-'Control Panel'!$C$38),'Control Panel'!$B$43)*'Control Panel'!$C$43+MIN(MAX(MAX(0,I$5-'Control Panel'!$C$38)-'Control Panel'!$B$43,0),'Control Panel'!$B$44-'Control Panel'!$B$43)*'Control Panel'!$C$44+MIN(MAX(MAX(0,I$5-'Control Panel'!$C$38)-'Control Panel'!$B$44,0),'Control Panel'!$B$45-'Control Panel'!$B$44)*'Control Panel'!$C$45+MAX(MAX(0,I$5-'Control Panel'!$C$38)-'Control Panel'!$B$45,0)*'Control Panel'!$C$46),$A9*'Control Panel'!$B$49))-('Control Panel'!$B$11+I$5*'Control Panel'!$B$10))/($A9+MIN((MIN(MAX(0,I$5-'Control Panel'!$C$38),'Control Panel'!$B$43)*'Control Panel'!$C$43+MIN(MAX(MAX(0,I$5-'Control Panel'!$C$38)-'Control Panel'!$B$43,0),'Control Panel'!$B$44-'Control Panel'!$B$43)*'Control Panel'!$C$44+MIN(MAX(MAX(0,I$5-'Control Panel'!$C$38)-'Control Panel'!$B$44,0),'Control Panel'!$B$45-'Control Panel'!$B$44)*'Control Panel'!$C$45+MAX(MAX(0,I$5-'Control Panel'!$C$38)-'Control Panel'!$B$45,0)*'Control Panel'!$C$46),$A9*'Control Panel'!$B$49))</f>
        <v/>
      </c>
      <c r="J9" s="26">
        <f>(($A9+MIN((MIN(MAX(0,J$5-'Control Panel'!$C$38),'Control Panel'!$B$43)*'Control Panel'!$C$43+MIN(MAX(MAX(0,J$5-'Control Panel'!$C$38)-'Control Panel'!$B$43,0),'Control Panel'!$B$44-'Control Panel'!$B$43)*'Control Panel'!$C$44+MIN(MAX(MAX(0,J$5-'Control Panel'!$C$38)-'Control Panel'!$B$44,0),'Control Panel'!$B$45-'Control Panel'!$B$44)*'Control Panel'!$C$45+MAX(MAX(0,J$5-'Control Panel'!$C$38)-'Control Panel'!$B$45,0)*'Control Panel'!$C$46),$A9*'Control Panel'!$B$49))-('Control Panel'!$B$11+J$5*'Control Panel'!$B$10))/($A9+MIN((MIN(MAX(0,J$5-'Control Panel'!$C$38),'Control Panel'!$B$43)*'Control Panel'!$C$43+MIN(MAX(MAX(0,J$5-'Control Panel'!$C$38)-'Control Panel'!$B$43,0),'Control Panel'!$B$44-'Control Panel'!$B$43)*'Control Panel'!$C$44+MIN(MAX(MAX(0,J$5-'Control Panel'!$C$38)-'Control Panel'!$B$44,0),'Control Panel'!$B$45-'Control Panel'!$B$44)*'Control Panel'!$C$45+MAX(MAX(0,J$5-'Control Panel'!$C$38)-'Control Panel'!$B$45,0)*'Control Panel'!$C$46),$A9*'Control Panel'!$B$49))</f>
        <v/>
      </c>
      <c r="K9" s="26">
        <f>(($A9+MIN((MIN(MAX(0,K$5-'Control Panel'!$C$38),'Control Panel'!$B$43)*'Control Panel'!$C$43+MIN(MAX(MAX(0,K$5-'Control Panel'!$C$38)-'Control Panel'!$B$43,0),'Control Panel'!$B$44-'Control Panel'!$B$43)*'Control Panel'!$C$44+MIN(MAX(MAX(0,K$5-'Control Panel'!$C$38)-'Control Panel'!$B$44,0),'Control Panel'!$B$45-'Control Panel'!$B$44)*'Control Panel'!$C$45+MAX(MAX(0,K$5-'Control Panel'!$C$38)-'Control Panel'!$B$45,0)*'Control Panel'!$C$46),$A9*'Control Panel'!$B$49))-('Control Panel'!$B$11+K$5*'Control Panel'!$B$10))/($A9+MIN((MIN(MAX(0,K$5-'Control Panel'!$C$38),'Control Panel'!$B$43)*'Control Panel'!$C$43+MIN(MAX(MAX(0,K$5-'Control Panel'!$C$38)-'Control Panel'!$B$43,0),'Control Panel'!$B$44-'Control Panel'!$B$43)*'Control Panel'!$C$44+MIN(MAX(MAX(0,K$5-'Control Panel'!$C$38)-'Control Panel'!$B$44,0),'Control Panel'!$B$45-'Control Panel'!$B$44)*'Control Panel'!$C$45+MAX(MAX(0,K$5-'Control Panel'!$C$38)-'Control Panel'!$B$45,0)*'Control Panel'!$C$46),$A9*'Control Panel'!$B$49))</f>
        <v/>
      </c>
    </row>
    <row r="10">
      <c r="A10" s="17" t="n">
        <v>449</v>
      </c>
      <c r="B10" s="26">
        <f>(($A10+MIN((MIN(MAX(0,B$5-'Control Panel'!$C$38),'Control Panel'!$B$43)*'Control Panel'!$C$43+MIN(MAX(MAX(0,B$5-'Control Panel'!$C$38)-'Control Panel'!$B$43,0),'Control Panel'!$B$44-'Control Panel'!$B$43)*'Control Panel'!$C$44+MIN(MAX(MAX(0,B$5-'Control Panel'!$C$38)-'Control Panel'!$B$44,0),'Control Panel'!$B$45-'Control Panel'!$B$44)*'Control Panel'!$C$45+MAX(MAX(0,B$5-'Control Panel'!$C$38)-'Control Panel'!$B$45,0)*'Control Panel'!$C$46),$A10*'Control Panel'!$B$49))-('Control Panel'!$B$11+B$5*'Control Panel'!$B$10))/($A10+MIN((MIN(MAX(0,B$5-'Control Panel'!$C$38),'Control Panel'!$B$43)*'Control Panel'!$C$43+MIN(MAX(MAX(0,B$5-'Control Panel'!$C$38)-'Control Panel'!$B$43,0),'Control Panel'!$B$44-'Control Panel'!$B$43)*'Control Panel'!$C$44+MIN(MAX(MAX(0,B$5-'Control Panel'!$C$38)-'Control Panel'!$B$44,0),'Control Panel'!$B$45-'Control Panel'!$B$44)*'Control Panel'!$C$45+MAX(MAX(0,B$5-'Control Panel'!$C$38)-'Control Panel'!$B$45,0)*'Control Panel'!$C$46),$A10*'Control Panel'!$B$49))</f>
        <v/>
      </c>
      <c r="C10" s="26">
        <f>(($A10+MIN((MIN(MAX(0,C$5-'Control Panel'!$C$38),'Control Panel'!$B$43)*'Control Panel'!$C$43+MIN(MAX(MAX(0,C$5-'Control Panel'!$C$38)-'Control Panel'!$B$43,0),'Control Panel'!$B$44-'Control Panel'!$B$43)*'Control Panel'!$C$44+MIN(MAX(MAX(0,C$5-'Control Panel'!$C$38)-'Control Panel'!$B$44,0),'Control Panel'!$B$45-'Control Panel'!$B$44)*'Control Panel'!$C$45+MAX(MAX(0,C$5-'Control Panel'!$C$38)-'Control Panel'!$B$45,0)*'Control Panel'!$C$46),$A10*'Control Panel'!$B$49))-('Control Panel'!$B$11+C$5*'Control Panel'!$B$10))/($A10+MIN((MIN(MAX(0,C$5-'Control Panel'!$C$38),'Control Panel'!$B$43)*'Control Panel'!$C$43+MIN(MAX(MAX(0,C$5-'Control Panel'!$C$38)-'Control Panel'!$B$43,0),'Control Panel'!$B$44-'Control Panel'!$B$43)*'Control Panel'!$C$44+MIN(MAX(MAX(0,C$5-'Control Panel'!$C$38)-'Control Panel'!$B$44,0),'Control Panel'!$B$45-'Control Panel'!$B$44)*'Control Panel'!$C$45+MAX(MAX(0,C$5-'Control Panel'!$C$38)-'Control Panel'!$B$45,0)*'Control Panel'!$C$46),$A10*'Control Panel'!$B$49))</f>
        <v/>
      </c>
      <c r="D10" s="26">
        <f>(($A10+MIN((MIN(MAX(0,D$5-'Control Panel'!$C$38),'Control Panel'!$B$43)*'Control Panel'!$C$43+MIN(MAX(MAX(0,D$5-'Control Panel'!$C$38)-'Control Panel'!$B$43,0),'Control Panel'!$B$44-'Control Panel'!$B$43)*'Control Panel'!$C$44+MIN(MAX(MAX(0,D$5-'Control Panel'!$C$38)-'Control Panel'!$B$44,0),'Control Panel'!$B$45-'Control Panel'!$B$44)*'Control Panel'!$C$45+MAX(MAX(0,D$5-'Control Panel'!$C$38)-'Control Panel'!$B$45,0)*'Control Panel'!$C$46),$A10*'Control Panel'!$B$49))-('Control Panel'!$B$11+D$5*'Control Panel'!$B$10))/($A10+MIN((MIN(MAX(0,D$5-'Control Panel'!$C$38),'Control Panel'!$B$43)*'Control Panel'!$C$43+MIN(MAX(MAX(0,D$5-'Control Panel'!$C$38)-'Control Panel'!$B$43,0),'Control Panel'!$B$44-'Control Panel'!$B$43)*'Control Panel'!$C$44+MIN(MAX(MAX(0,D$5-'Control Panel'!$C$38)-'Control Panel'!$B$44,0),'Control Panel'!$B$45-'Control Panel'!$B$44)*'Control Panel'!$C$45+MAX(MAX(0,D$5-'Control Panel'!$C$38)-'Control Panel'!$B$45,0)*'Control Panel'!$C$46),$A10*'Control Panel'!$B$49))</f>
        <v/>
      </c>
      <c r="E10" s="26">
        <f>(($A10+MIN((MIN(MAX(0,E$5-'Control Panel'!$C$38),'Control Panel'!$B$43)*'Control Panel'!$C$43+MIN(MAX(MAX(0,E$5-'Control Panel'!$C$38)-'Control Panel'!$B$43,0),'Control Panel'!$B$44-'Control Panel'!$B$43)*'Control Panel'!$C$44+MIN(MAX(MAX(0,E$5-'Control Panel'!$C$38)-'Control Panel'!$B$44,0),'Control Panel'!$B$45-'Control Panel'!$B$44)*'Control Panel'!$C$45+MAX(MAX(0,E$5-'Control Panel'!$C$38)-'Control Panel'!$B$45,0)*'Control Panel'!$C$46),$A10*'Control Panel'!$B$49))-('Control Panel'!$B$11+E$5*'Control Panel'!$B$10))/($A10+MIN((MIN(MAX(0,E$5-'Control Panel'!$C$38),'Control Panel'!$B$43)*'Control Panel'!$C$43+MIN(MAX(MAX(0,E$5-'Control Panel'!$C$38)-'Control Panel'!$B$43,0),'Control Panel'!$B$44-'Control Panel'!$B$43)*'Control Panel'!$C$44+MIN(MAX(MAX(0,E$5-'Control Panel'!$C$38)-'Control Panel'!$B$44,0),'Control Panel'!$B$45-'Control Panel'!$B$44)*'Control Panel'!$C$45+MAX(MAX(0,E$5-'Control Panel'!$C$38)-'Control Panel'!$B$45,0)*'Control Panel'!$C$46),$A10*'Control Panel'!$B$49))</f>
        <v/>
      </c>
      <c r="F10" s="26">
        <f>(($A10+MIN((MIN(MAX(0,F$5-'Control Panel'!$C$38),'Control Panel'!$B$43)*'Control Panel'!$C$43+MIN(MAX(MAX(0,F$5-'Control Panel'!$C$38)-'Control Panel'!$B$43,0),'Control Panel'!$B$44-'Control Panel'!$B$43)*'Control Panel'!$C$44+MIN(MAX(MAX(0,F$5-'Control Panel'!$C$38)-'Control Panel'!$B$44,0),'Control Panel'!$B$45-'Control Panel'!$B$44)*'Control Panel'!$C$45+MAX(MAX(0,F$5-'Control Panel'!$C$38)-'Control Panel'!$B$45,0)*'Control Panel'!$C$46),$A10*'Control Panel'!$B$49))-('Control Panel'!$B$11+F$5*'Control Panel'!$B$10))/($A10+MIN((MIN(MAX(0,F$5-'Control Panel'!$C$38),'Control Panel'!$B$43)*'Control Panel'!$C$43+MIN(MAX(MAX(0,F$5-'Control Panel'!$C$38)-'Control Panel'!$B$43,0),'Control Panel'!$B$44-'Control Panel'!$B$43)*'Control Panel'!$C$44+MIN(MAX(MAX(0,F$5-'Control Panel'!$C$38)-'Control Panel'!$B$44,0),'Control Panel'!$B$45-'Control Panel'!$B$44)*'Control Panel'!$C$45+MAX(MAX(0,F$5-'Control Panel'!$C$38)-'Control Panel'!$B$45,0)*'Control Panel'!$C$46),$A10*'Control Panel'!$B$49))</f>
        <v/>
      </c>
      <c r="G10" s="26">
        <f>(($A10+MIN((MIN(MAX(0,G$5-'Control Panel'!$C$38),'Control Panel'!$B$43)*'Control Panel'!$C$43+MIN(MAX(MAX(0,G$5-'Control Panel'!$C$38)-'Control Panel'!$B$43,0),'Control Panel'!$B$44-'Control Panel'!$B$43)*'Control Panel'!$C$44+MIN(MAX(MAX(0,G$5-'Control Panel'!$C$38)-'Control Panel'!$B$44,0),'Control Panel'!$B$45-'Control Panel'!$B$44)*'Control Panel'!$C$45+MAX(MAX(0,G$5-'Control Panel'!$C$38)-'Control Panel'!$B$45,0)*'Control Panel'!$C$46),$A10*'Control Panel'!$B$49))-('Control Panel'!$B$11+G$5*'Control Panel'!$B$10))/($A10+MIN((MIN(MAX(0,G$5-'Control Panel'!$C$38),'Control Panel'!$B$43)*'Control Panel'!$C$43+MIN(MAX(MAX(0,G$5-'Control Panel'!$C$38)-'Control Panel'!$B$43,0),'Control Panel'!$B$44-'Control Panel'!$B$43)*'Control Panel'!$C$44+MIN(MAX(MAX(0,G$5-'Control Panel'!$C$38)-'Control Panel'!$B$44,0),'Control Panel'!$B$45-'Control Panel'!$B$44)*'Control Panel'!$C$45+MAX(MAX(0,G$5-'Control Panel'!$C$38)-'Control Panel'!$B$45,0)*'Control Panel'!$C$46),$A10*'Control Panel'!$B$49))</f>
        <v/>
      </c>
      <c r="H10" s="26">
        <f>(($A10+MIN((MIN(MAX(0,H$5-'Control Panel'!$C$38),'Control Panel'!$B$43)*'Control Panel'!$C$43+MIN(MAX(MAX(0,H$5-'Control Panel'!$C$38)-'Control Panel'!$B$43,0),'Control Panel'!$B$44-'Control Panel'!$B$43)*'Control Panel'!$C$44+MIN(MAX(MAX(0,H$5-'Control Panel'!$C$38)-'Control Panel'!$B$44,0),'Control Panel'!$B$45-'Control Panel'!$B$44)*'Control Panel'!$C$45+MAX(MAX(0,H$5-'Control Panel'!$C$38)-'Control Panel'!$B$45,0)*'Control Panel'!$C$46),$A10*'Control Panel'!$B$49))-('Control Panel'!$B$11+H$5*'Control Panel'!$B$10))/($A10+MIN((MIN(MAX(0,H$5-'Control Panel'!$C$38),'Control Panel'!$B$43)*'Control Panel'!$C$43+MIN(MAX(MAX(0,H$5-'Control Panel'!$C$38)-'Control Panel'!$B$43,0),'Control Panel'!$B$44-'Control Panel'!$B$43)*'Control Panel'!$C$44+MIN(MAX(MAX(0,H$5-'Control Panel'!$C$38)-'Control Panel'!$B$44,0),'Control Panel'!$B$45-'Control Panel'!$B$44)*'Control Panel'!$C$45+MAX(MAX(0,H$5-'Control Panel'!$C$38)-'Control Panel'!$B$45,0)*'Control Panel'!$C$46),$A10*'Control Panel'!$B$49))</f>
        <v/>
      </c>
      <c r="I10" s="26">
        <f>(($A10+MIN((MIN(MAX(0,I$5-'Control Panel'!$C$38),'Control Panel'!$B$43)*'Control Panel'!$C$43+MIN(MAX(MAX(0,I$5-'Control Panel'!$C$38)-'Control Panel'!$B$43,0),'Control Panel'!$B$44-'Control Panel'!$B$43)*'Control Panel'!$C$44+MIN(MAX(MAX(0,I$5-'Control Panel'!$C$38)-'Control Panel'!$B$44,0),'Control Panel'!$B$45-'Control Panel'!$B$44)*'Control Panel'!$C$45+MAX(MAX(0,I$5-'Control Panel'!$C$38)-'Control Panel'!$B$45,0)*'Control Panel'!$C$46),$A10*'Control Panel'!$B$49))-('Control Panel'!$B$11+I$5*'Control Panel'!$B$10))/($A10+MIN((MIN(MAX(0,I$5-'Control Panel'!$C$38),'Control Panel'!$B$43)*'Control Panel'!$C$43+MIN(MAX(MAX(0,I$5-'Control Panel'!$C$38)-'Control Panel'!$B$43,0),'Control Panel'!$B$44-'Control Panel'!$B$43)*'Control Panel'!$C$44+MIN(MAX(MAX(0,I$5-'Control Panel'!$C$38)-'Control Panel'!$B$44,0),'Control Panel'!$B$45-'Control Panel'!$B$44)*'Control Panel'!$C$45+MAX(MAX(0,I$5-'Control Panel'!$C$38)-'Control Panel'!$B$45,0)*'Control Panel'!$C$46),$A10*'Control Panel'!$B$49))</f>
        <v/>
      </c>
      <c r="J10" s="26">
        <f>(($A10+MIN((MIN(MAX(0,J$5-'Control Panel'!$C$38),'Control Panel'!$B$43)*'Control Panel'!$C$43+MIN(MAX(MAX(0,J$5-'Control Panel'!$C$38)-'Control Panel'!$B$43,0),'Control Panel'!$B$44-'Control Panel'!$B$43)*'Control Panel'!$C$44+MIN(MAX(MAX(0,J$5-'Control Panel'!$C$38)-'Control Panel'!$B$44,0),'Control Panel'!$B$45-'Control Panel'!$B$44)*'Control Panel'!$C$45+MAX(MAX(0,J$5-'Control Panel'!$C$38)-'Control Panel'!$B$45,0)*'Control Panel'!$C$46),$A10*'Control Panel'!$B$49))-('Control Panel'!$B$11+J$5*'Control Panel'!$B$10))/($A10+MIN((MIN(MAX(0,J$5-'Control Panel'!$C$38),'Control Panel'!$B$43)*'Control Panel'!$C$43+MIN(MAX(MAX(0,J$5-'Control Panel'!$C$38)-'Control Panel'!$B$43,0),'Control Panel'!$B$44-'Control Panel'!$B$43)*'Control Panel'!$C$44+MIN(MAX(MAX(0,J$5-'Control Panel'!$C$38)-'Control Panel'!$B$44,0),'Control Panel'!$B$45-'Control Panel'!$B$44)*'Control Panel'!$C$45+MAX(MAX(0,J$5-'Control Panel'!$C$38)-'Control Panel'!$B$45,0)*'Control Panel'!$C$46),$A10*'Control Panel'!$B$49))</f>
        <v/>
      </c>
      <c r="K10" s="26">
        <f>(($A10+MIN((MIN(MAX(0,K$5-'Control Panel'!$C$38),'Control Panel'!$B$43)*'Control Panel'!$C$43+MIN(MAX(MAX(0,K$5-'Control Panel'!$C$38)-'Control Panel'!$B$43,0),'Control Panel'!$B$44-'Control Panel'!$B$43)*'Control Panel'!$C$44+MIN(MAX(MAX(0,K$5-'Control Panel'!$C$38)-'Control Panel'!$B$44,0),'Control Panel'!$B$45-'Control Panel'!$B$44)*'Control Panel'!$C$45+MAX(MAX(0,K$5-'Control Panel'!$C$38)-'Control Panel'!$B$45,0)*'Control Panel'!$C$46),$A10*'Control Panel'!$B$49))-('Control Panel'!$B$11+K$5*'Control Panel'!$B$10))/($A10+MIN((MIN(MAX(0,K$5-'Control Panel'!$C$38),'Control Panel'!$B$43)*'Control Panel'!$C$43+MIN(MAX(MAX(0,K$5-'Control Panel'!$C$38)-'Control Panel'!$B$43,0),'Control Panel'!$B$44-'Control Panel'!$B$43)*'Control Panel'!$C$44+MIN(MAX(MAX(0,K$5-'Control Panel'!$C$38)-'Control Panel'!$B$44,0),'Control Panel'!$B$45-'Control Panel'!$B$44)*'Control Panel'!$C$45+MAX(MAX(0,K$5-'Control Panel'!$C$38)-'Control Panel'!$B$45,0)*'Control Panel'!$C$46),$A10*'Control Panel'!$B$49))</f>
        <v/>
      </c>
    </row>
    <row r="11">
      <c r="A11" s="17" t="n">
        <v>499</v>
      </c>
      <c r="B11" s="26">
        <f>(($A11+MIN((MIN(MAX(0,B$5-'Control Panel'!$C$38),'Control Panel'!$B$43)*'Control Panel'!$C$43+MIN(MAX(MAX(0,B$5-'Control Panel'!$C$38)-'Control Panel'!$B$43,0),'Control Panel'!$B$44-'Control Panel'!$B$43)*'Control Panel'!$C$44+MIN(MAX(MAX(0,B$5-'Control Panel'!$C$38)-'Control Panel'!$B$44,0),'Control Panel'!$B$45-'Control Panel'!$B$44)*'Control Panel'!$C$45+MAX(MAX(0,B$5-'Control Panel'!$C$38)-'Control Panel'!$B$45,0)*'Control Panel'!$C$46),$A11*'Control Panel'!$B$49))-('Control Panel'!$B$11+B$5*'Control Panel'!$B$10))/($A11+MIN((MIN(MAX(0,B$5-'Control Panel'!$C$38),'Control Panel'!$B$43)*'Control Panel'!$C$43+MIN(MAX(MAX(0,B$5-'Control Panel'!$C$38)-'Control Panel'!$B$43,0),'Control Panel'!$B$44-'Control Panel'!$B$43)*'Control Panel'!$C$44+MIN(MAX(MAX(0,B$5-'Control Panel'!$C$38)-'Control Panel'!$B$44,0),'Control Panel'!$B$45-'Control Panel'!$B$44)*'Control Panel'!$C$45+MAX(MAX(0,B$5-'Control Panel'!$C$38)-'Control Panel'!$B$45,0)*'Control Panel'!$C$46),$A11*'Control Panel'!$B$49))</f>
        <v/>
      </c>
      <c r="C11" s="26">
        <f>(($A11+MIN((MIN(MAX(0,C$5-'Control Panel'!$C$38),'Control Panel'!$B$43)*'Control Panel'!$C$43+MIN(MAX(MAX(0,C$5-'Control Panel'!$C$38)-'Control Panel'!$B$43,0),'Control Panel'!$B$44-'Control Panel'!$B$43)*'Control Panel'!$C$44+MIN(MAX(MAX(0,C$5-'Control Panel'!$C$38)-'Control Panel'!$B$44,0),'Control Panel'!$B$45-'Control Panel'!$B$44)*'Control Panel'!$C$45+MAX(MAX(0,C$5-'Control Panel'!$C$38)-'Control Panel'!$B$45,0)*'Control Panel'!$C$46),$A11*'Control Panel'!$B$49))-('Control Panel'!$B$11+C$5*'Control Panel'!$B$10))/($A11+MIN((MIN(MAX(0,C$5-'Control Panel'!$C$38),'Control Panel'!$B$43)*'Control Panel'!$C$43+MIN(MAX(MAX(0,C$5-'Control Panel'!$C$38)-'Control Panel'!$B$43,0),'Control Panel'!$B$44-'Control Panel'!$B$43)*'Control Panel'!$C$44+MIN(MAX(MAX(0,C$5-'Control Panel'!$C$38)-'Control Panel'!$B$44,0),'Control Panel'!$B$45-'Control Panel'!$B$44)*'Control Panel'!$C$45+MAX(MAX(0,C$5-'Control Panel'!$C$38)-'Control Panel'!$B$45,0)*'Control Panel'!$C$46),$A11*'Control Panel'!$B$49))</f>
        <v/>
      </c>
      <c r="D11" s="26">
        <f>(($A11+MIN((MIN(MAX(0,D$5-'Control Panel'!$C$38),'Control Panel'!$B$43)*'Control Panel'!$C$43+MIN(MAX(MAX(0,D$5-'Control Panel'!$C$38)-'Control Panel'!$B$43,0),'Control Panel'!$B$44-'Control Panel'!$B$43)*'Control Panel'!$C$44+MIN(MAX(MAX(0,D$5-'Control Panel'!$C$38)-'Control Panel'!$B$44,0),'Control Panel'!$B$45-'Control Panel'!$B$44)*'Control Panel'!$C$45+MAX(MAX(0,D$5-'Control Panel'!$C$38)-'Control Panel'!$B$45,0)*'Control Panel'!$C$46),$A11*'Control Panel'!$B$49))-('Control Panel'!$B$11+D$5*'Control Panel'!$B$10))/($A11+MIN((MIN(MAX(0,D$5-'Control Panel'!$C$38),'Control Panel'!$B$43)*'Control Panel'!$C$43+MIN(MAX(MAX(0,D$5-'Control Panel'!$C$38)-'Control Panel'!$B$43,0),'Control Panel'!$B$44-'Control Panel'!$B$43)*'Control Panel'!$C$44+MIN(MAX(MAX(0,D$5-'Control Panel'!$C$38)-'Control Panel'!$B$44,0),'Control Panel'!$B$45-'Control Panel'!$B$44)*'Control Panel'!$C$45+MAX(MAX(0,D$5-'Control Panel'!$C$38)-'Control Panel'!$B$45,0)*'Control Panel'!$C$46),$A11*'Control Panel'!$B$49))</f>
        <v/>
      </c>
      <c r="E11" s="26">
        <f>(($A11+MIN((MIN(MAX(0,E$5-'Control Panel'!$C$38),'Control Panel'!$B$43)*'Control Panel'!$C$43+MIN(MAX(MAX(0,E$5-'Control Panel'!$C$38)-'Control Panel'!$B$43,0),'Control Panel'!$B$44-'Control Panel'!$B$43)*'Control Panel'!$C$44+MIN(MAX(MAX(0,E$5-'Control Panel'!$C$38)-'Control Panel'!$B$44,0),'Control Panel'!$B$45-'Control Panel'!$B$44)*'Control Panel'!$C$45+MAX(MAX(0,E$5-'Control Panel'!$C$38)-'Control Panel'!$B$45,0)*'Control Panel'!$C$46),$A11*'Control Panel'!$B$49))-('Control Panel'!$B$11+E$5*'Control Panel'!$B$10))/($A11+MIN((MIN(MAX(0,E$5-'Control Panel'!$C$38),'Control Panel'!$B$43)*'Control Panel'!$C$43+MIN(MAX(MAX(0,E$5-'Control Panel'!$C$38)-'Control Panel'!$B$43,0),'Control Panel'!$B$44-'Control Panel'!$B$43)*'Control Panel'!$C$44+MIN(MAX(MAX(0,E$5-'Control Panel'!$C$38)-'Control Panel'!$B$44,0),'Control Panel'!$B$45-'Control Panel'!$B$44)*'Control Panel'!$C$45+MAX(MAX(0,E$5-'Control Panel'!$C$38)-'Control Panel'!$B$45,0)*'Control Panel'!$C$46),$A11*'Control Panel'!$B$49))</f>
        <v/>
      </c>
      <c r="F11" s="26">
        <f>(($A11+MIN((MIN(MAX(0,F$5-'Control Panel'!$C$38),'Control Panel'!$B$43)*'Control Panel'!$C$43+MIN(MAX(MAX(0,F$5-'Control Panel'!$C$38)-'Control Panel'!$B$43,0),'Control Panel'!$B$44-'Control Panel'!$B$43)*'Control Panel'!$C$44+MIN(MAX(MAX(0,F$5-'Control Panel'!$C$38)-'Control Panel'!$B$44,0),'Control Panel'!$B$45-'Control Panel'!$B$44)*'Control Panel'!$C$45+MAX(MAX(0,F$5-'Control Panel'!$C$38)-'Control Panel'!$B$45,0)*'Control Panel'!$C$46),$A11*'Control Panel'!$B$49))-('Control Panel'!$B$11+F$5*'Control Panel'!$B$10))/($A11+MIN((MIN(MAX(0,F$5-'Control Panel'!$C$38),'Control Panel'!$B$43)*'Control Panel'!$C$43+MIN(MAX(MAX(0,F$5-'Control Panel'!$C$38)-'Control Panel'!$B$43,0),'Control Panel'!$B$44-'Control Panel'!$B$43)*'Control Panel'!$C$44+MIN(MAX(MAX(0,F$5-'Control Panel'!$C$38)-'Control Panel'!$B$44,0),'Control Panel'!$B$45-'Control Panel'!$B$44)*'Control Panel'!$C$45+MAX(MAX(0,F$5-'Control Panel'!$C$38)-'Control Panel'!$B$45,0)*'Control Panel'!$C$46),$A11*'Control Panel'!$B$49))</f>
        <v/>
      </c>
      <c r="G11" s="26">
        <f>(($A11+MIN((MIN(MAX(0,G$5-'Control Panel'!$C$38),'Control Panel'!$B$43)*'Control Panel'!$C$43+MIN(MAX(MAX(0,G$5-'Control Panel'!$C$38)-'Control Panel'!$B$43,0),'Control Panel'!$B$44-'Control Panel'!$B$43)*'Control Panel'!$C$44+MIN(MAX(MAX(0,G$5-'Control Panel'!$C$38)-'Control Panel'!$B$44,0),'Control Panel'!$B$45-'Control Panel'!$B$44)*'Control Panel'!$C$45+MAX(MAX(0,G$5-'Control Panel'!$C$38)-'Control Panel'!$B$45,0)*'Control Panel'!$C$46),$A11*'Control Panel'!$B$49))-('Control Panel'!$B$11+G$5*'Control Panel'!$B$10))/($A11+MIN((MIN(MAX(0,G$5-'Control Panel'!$C$38),'Control Panel'!$B$43)*'Control Panel'!$C$43+MIN(MAX(MAX(0,G$5-'Control Panel'!$C$38)-'Control Panel'!$B$43,0),'Control Panel'!$B$44-'Control Panel'!$B$43)*'Control Panel'!$C$44+MIN(MAX(MAX(0,G$5-'Control Panel'!$C$38)-'Control Panel'!$B$44,0),'Control Panel'!$B$45-'Control Panel'!$B$44)*'Control Panel'!$C$45+MAX(MAX(0,G$5-'Control Panel'!$C$38)-'Control Panel'!$B$45,0)*'Control Panel'!$C$46),$A11*'Control Panel'!$B$49))</f>
        <v/>
      </c>
      <c r="H11" s="26">
        <f>(($A11+MIN((MIN(MAX(0,H$5-'Control Panel'!$C$38),'Control Panel'!$B$43)*'Control Panel'!$C$43+MIN(MAX(MAX(0,H$5-'Control Panel'!$C$38)-'Control Panel'!$B$43,0),'Control Panel'!$B$44-'Control Panel'!$B$43)*'Control Panel'!$C$44+MIN(MAX(MAX(0,H$5-'Control Panel'!$C$38)-'Control Panel'!$B$44,0),'Control Panel'!$B$45-'Control Panel'!$B$44)*'Control Panel'!$C$45+MAX(MAX(0,H$5-'Control Panel'!$C$38)-'Control Panel'!$B$45,0)*'Control Panel'!$C$46),$A11*'Control Panel'!$B$49))-('Control Panel'!$B$11+H$5*'Control Panel'!$B$10))/($A11+MIN((MIN(MAX(0,H$5-'Control Panel'!$C$38),'Control Panel'!$B$43)*'Control Panel'!$C$43+MIN(MAX(MAX(0,H$5-'Control Panel'!$C$38)-'Control Panel'!$B$43,0),'Control Panel'!$B$44-'Control Panel'!$B$43)*'Control Panel'!$C$44+MIN(MAX(MAX(0,H$5-'Control Panel'!$C$38)-'Control Panel'!$B$44,0),'Control Panel'!$B$45-'Control Panel'!$B$44)*'Control Panel'!$C$45+MAX(MAX(0,H$5-'Control Panel'!$C$38)-'Control Panel'!$B$45,0)*'Control Panel'!$C$46),$A11*'Control Panel'!$B$49))</f>
        <v/>
      </c>
      <c r="I11" s="26">
        <f>(($A11+MIN((MIN(MAX(0,I$5-'Control Panel'!$C$38),'Control Panel'!$B$43)*'Control Panel'!$C$43+MIN(MAX(MAX(0,I$5-'Control Panel'!$C$38)-'Control Panel'!$B$43,0),'Control Panel'!$B$44-'Control Panel'!$B$43)*'Control Panel'!$C$44+MIN(MAX(MAX(0,I$5-'Control Panel'!$C$38)-'Control Panel'!$B$44,0),'Control Panel'!$B$45-'Control Panel'!$B$44)*'Control Panel'!$C$45+MAX(MAX(0,I$5-'Control Panel'!$C$38)-'Control Panel'!$B$45,0)*'Control Panel'!$C$46),$A11*'Control Panel'!$B$49))-('Control Panel'!$B$11+I$5*'Control Panel'!$B$10))/($A11+MIN((MIN(MAX(0,I$5-'Control Panel'!$C$38),'Control Panel'!$B$43)*'Control Panel'!$C$43+MIN(MAX(MAX(0,I$5-'Control Panel'!$C$38)-'Control Panel'!$B$43,0),'Control Panel'!$B$44-'Control Panel'!$B$43)*'Control Panel'!$C$44+MIN(MAX(MAX(0,I$5-'Control Panel'!$C$38)-'Control Panel'!$B$44,0),'Control Panel'!$B$45-'Control Panel'!$B$44)*'Control Panel'!$C$45+MAX(MAX(0,I$5-'Control Panel'!$C$38)-'Control Panel'!$B$45,0)*'Control Panel'!$C$46),$A11*'Control Panel'!$B$49))</f>
        <v/>
      </c>
      <c r="J11" s="26">
        <f>(($A11+MIN((MIN(MAX(0,J$5-'Control Panel'!$C$38),'Control Panel'!$B$43)*'Control Panel'!$C$43+MIN(MAX(MAX(0,J$5-'Control Panel'!$C$38)-'Control Panel'!$B$43,0),'Control Panel'!$B$44-'Control Panel'!$B$43)*'Control Panel'!$C$44+MIN(MAX(MAX(0,J$5-'Control Panel'!$C$38)-'Control Panel'!$B$44,0),'Control Panel'!$B$45-'Control Panel'!$B$44)*'Control Panel'!$C$45+MAX(MAX(0,J$5-'Control Panel'!$C$38)-'Control Panel'!$B$45,0)*'Control Panel'!$C$46),$A11*'Control Panel'!$B$49))-('Control Panel'!$B$11+J$5*'Control Panel'!$B$10))/($A11+MIN((MIN(MAX(0,J$5-'Control Panel'!$C$38),'Control Panel'!$B$43)*'Control Panel'!$C$43+MIN(MAX(MAX(0,J$5-'Control Panel'!$C$38)-'Control Panel'!$B$43,0),'Control Panel'!$B$44-'Control Panel'!$B$43)*'Control Panel'!$C$44+MIN(MAX(MAX(0,J$5-'Control Panel'!$C$38)-'Control Panel'!$B$44,0),'Control Panel'!$B$45-'Control Panel'!$B$44)*'Control Panel'!$C$45+MAX(MAX(0,J$5-'Control Panel'!$C$38)-'Control Panel'!$B$45,0)*'Control Panel'!$C$46),$A11*'Control Panel'!$B$49))</f>
        <v/>
      </c>
      <c r="K11" s="26">
        <f>(($A11+MIN((MIN(MAX(0,K$5-'Control Panel'!$C$38),'Control Panel'!$B$43)*'Control Panel'!$C$43+MIN(MAX(MAX(0,K$5-'Control Panel'!$C$38)-'Control Panel'!$B$43,0),'Control Panel'!$B$44-'Control Panel'!$B$43)*'Control Panel'!$C$44+MIN(MAX(MAX(0,K$5-'Control Panel'!$C$38)-'Control Panel'!$B$44,0),'Control Panel'!$B$45-'Control Panel'!$B$44)*'Control Panel'!$C$45+MAX(MAX(0,K$5-'Control Panel'!$C$38)-'Control Panel'!$B$45,0)*'Control Panel'!$C$46),$A11*'Control Panel'!$B$49))-('Control Panel'!$B$11+K$5*'Control Panel'!$B$10))/($A11+MIN((MIN(MAX(0,K$5-'Control Panel'!$C$38),'Control Panel'!$B$43)*'Control Panel'!$C$43+MIN(MAX(MAX(0,K$5-'Control Panel'!$C$38)-'Control Panel'!$B$43,0),'Control Panel'!$B$44-'Control Panel'!$B$43)*'Control Panel'!$C$44+MIN(MAX(MAX(0,K$5-'Control Panel'!$C$38)-'Control Panel'!$B$44,0),'Control Panel'!$B$45-'Control Panel'!$B$44)*'Control Panel'!$C$45+MAX(MAX(0,K$5-'Control Panel'!$C$38)-'Control Panel'!$B$45,0)*'Control Panel'!$C$46),$A11*'Control Panel'!$B$49))</f>
        <v/>
      </c>
    </row>
    <row r="12">
      <c r="A12" s="17" t="n">
        <v>549</v>
      </c>
      <c r="B12" s="26">
        <f>(($A12+MIN((MIN(MAX(0,B$5-'Control Panel'!$C$38),'Control Panel'!$B$43)*'Control Panel'!$C$43+MIN(MAX(MAX(0,B$5-'Control Panel'!$C$38)-'Control Panel'!$B$43,0),'Control Panel'!$B$44-'Control Panel'!$B$43)*'Control Panel'!$C$44+MIN(MAX(MAX(0,B$5-'Control Panel'!$C$38)-'Control Panel'!$B$44,0),'Control Panel'!$B$45-'Control Panel'!$B$44)*'Control Panel'!$C$45+MAX(MAX(0,B$5-'Control Panel'!$C$38)-'Control Panel'!$B$45,0)*'Control Panel'!$C$46),$A12*'Control Panel'!$B$49))-('Control Panel'!$B$11+B$5*'Control Panel'!$B$10))/($A12+MIN((MIN(MAX(0,B$5-'Control Panel'!$C$38),'Control Panel'!$B$43)*'Control Panel'!$C$43+MIN(MAX(MAX(0,B$5-'Control Panel'!$C$38)-'Control Panel'!$B$43,0),'Control Panel'!$B$44-'Control Panel'!$B$43)*'Control Panel'!$C$44+MIN(MAX(MAX(0,B$5-'Control Panel'!$C$38)-'Control Panel'!$B$44,0),'Control Panel'!$B$45-'Control Panel'!$B$44)*'Control Panel'!$C$45+MAX(MAX(0,B$5-'Control Panel'!$C$38)-'Control Panel'!$B$45,0)*'Control Panel'!$C$46),$A12*'Control Panel'!$B$49))</f>
        <v/>
      </c>
      <c r="C12" s="26">
        <f>(($A12+MIN((MIN(MAX(0,C$5-'Control Panel'!$C$38),'Control Panel'!$B$43)*'Control Panel'!$C$43+MIN(MAX(MAX(0,C$5-'Control Panel'!$C$38)-'Control Panel'!$B$43,0),'Control Panel'!$B$44-'Control Panel'!$B$43)*'Control Panel'!$C$44+MIN(MAX(MAX(0,C$5-'Control Panel'!$C$38)-'Control Panel'!$B$44,0),'Control Panel'!$B$45-'Control Panel'!$B$44)*'Control Panel'!$C$45+MAX(MAX(0,C$5-'Control Panel'!$C$38)-'Control Panel'!$B$45,0)*'Control Panel'!$C$46),$A12*'Control Panel'!$B$49))-('Control Panel'!$B$11+C$5*'Control Panel'!$B$10))/($A12+MIN((MIN(MAX(0,C$5-'Control Panel'!$C$38),'Control Panel'!$B$43)*'Control Panel'!$C$43+MIN(MAX(MAX(0,C$5-'Control Panel'!$C$38)-'Control Panel'!$B$43,0),'Control Panel'!$B$44-'Control Panel'!$B$43)*'Control Panel'!$C$44+MIN(MAX(MAX(0,C$5-'Control Panel'!$C$38)-'Control Panel'!$B$44,0),'Control Panel'!$B$45-'Control Panel'!$B$44)*'Control Panel'!$C$45+MAX(MAX(0,C$5-'Control Panel'!$C$38)-'Control Panel'!$B$45,0)*'Control Panel'!$C$46),$A12*'Control Panel'!$B$49))</f>
        <v/>
      </c>
      <c r="D12" s="26">
        <f>(($A12+MIN((MIN(MAX(0,D$5-'Control Panel'!$C$38),'Control Panel'!$B$43)*'Control Panel'!$C$43+MIN(MAX(MAX(0,D$5-'Control Panel'!$C$38)-'Control Panel'!$B$43,0),'Control Panel'!$B$44-'Control Panel'!$B$43)*'Control Panel'!$C$44+MIN(MAX(MAX(0,D$5-'Control Panel'!$C$38)-'Control Panel'!$B$44,0),'Control Panel'!$B$45-'Control Panel'!$B$44)*'Control Panel'!$C$45+MAX(MAX(0,D$5-'Control Panel'!$C$38)-'Control Panel'!$B$45,0)*'Control Panel'!$C$46),$A12*'Control Panel'!$B$49))-('Control Panel'!$B$11+D$5*'Control Panel'!$B$10))/($A12+MIN((MIN(MAX(0,D$5-'Control Panel'!$C$38),'Control Panel'!$B$43)*'Control Panel'!$C$43+MIN(MAX(MAX(0,D$5-'Control Panel'!$C$38)-'Control Panel'!$B$43,0),'Control Panel'!$B$44-'Control Panel'!$B$43)*'Control Panel'!$C$44+MIN(MAX(MAX(0,D$5-'Control Panel'!$C$38)-'Control Panel'!$B$44,0),'Control Panel'!$B$45-'Control Panel'!$B$44)*'Control Panel'!$C$45+MAX(MAX(0,D$5-'Control Panel'!$C$38)-'Control Panel'!$B$45,0)*'Control Panel'!$C$46),$A12*'Control Panel'!$B$49))</f>
        <v/>
      </c>
      <c r="E12" s="26">
        <f>(($A12+MIN((MIN(MAX(0,E$5-'Control Panel'!$C$38),'Control Panel'!$B$43)*'Control Panel'!$C$43+MIN(MAX(MAX(0,E$5-'Control Panel'!$C$38)-'Control Panel'!$B$43,0),'Control Panel'!$B$44-'Control Panel'!$B$43)*'Control Panel'!$C$44+MIN(MAX(MAX(0,E$5-'Control Panel'!$C$38)-'Control Panel'!$B$44,0),'Control Panel'!$B$45-'Control Panel'!$B$44)*'Control Panel'!$C$45+MAX(MAX(0,E$5-'Control Panel'!$C$38)-'Control Panel'!$B$45,0)*'Control Panel'!$C$46),$A12*'Control Panel'!$B$49))-('Control Panel'!$B$11+E$5*'Control Panel'!$B$10))/($A12+MIN((MIN(MAX(0,E$5-'Control Panel'!$C$38),'Control Panel'!$B$43)*'Control Panel'!$C$43+MIN(MAX(MAX(0,E$5-'Control Panel'!$C$38)-'Control Panel'!$B$43,0),'Control Panel'!$B$44-'Control Panel'!$B$43)*'Control Panel'!$C$44+MIN(MAX(MAX(0,E$5-'Control Panel'!$C$38)-'Control Panel'!$B$44,0),'Control Panel'!$B$45-'Control Panel'!$B$44)*'Control Panel'!$C$45+MAX(MAX(0,E$5-'Control Panel'!$C$38)-'Control Panel'!$B$45,0)*'Control Panel'!$C$46),$A12*'Control Panel'!$B$49))</f>
        <v/>
      </c>
      <c r="F12" s="26">
        <f>(($A12+MIN((MIN(MAX(0,F$5-'Control Panel'!$C$38),'Control Panel'!$B$43)*'Control Panel'!$C$43+MIN(MAX(MAX(0,F$5-'Control Panel'!$C$38)-'Control Panel'!$B$43,0),'Control Panel'!$B$44-'Control Panel'!$B$43)*'Control Panel'!$C$44+MIN(MAX(MAX(0,F$5-'Control Panel'!$C$38)-'Control Panel'!$B$44,0),'Control Panel'!$B$45-'Control Panel'!$B$44)*'Control Panel'!$C$45+MAX(MAX(0,F$5-'Control Panel'!$C$38)-'Control Panel'!$B$45,0)*'Control Panel'!$C$46),$A12*'Control Panel'!$B$49))-('Control Panel'!$B$11+F$5*'Control Panel'!$B$10))/($A12+MIN((MIN(MAX(0,F$5-'Control Panel'!$C$38),'Control Panel'!$B$43)*'Control Panel'!$C$43+MIN(MAX(MAX(0,F$5-'Control Panel'!$C$38)-'Control Panel'!$B$43,0),'Control Panel'!$B$44-'Control Panel'!$B$43)*'Control Panel'!$C$44+MIN(MAX(MAX(0,F$5-'Control Panel'!$C$38)-'Control Panel'!$B$44,0),'Control Panel'!$B$45-'Control Panel'!$B$44)*'Control Panel'!$C$45+MAX(MAX(0,F$5-'Control Panel'!$C$38)-'Control Panel'!$B$45,0)*'Control Panel'!$C$46),$A12*'Control Panel'!$B$49))</f>
        <v/>
      </c>
      <c r="G12" s="26">
        <f>(($A12+MIN((MIN(MAX(0,G$5-'Control Panel'!$C$38),'Control Panel'!$B$43)*'Control Panel'!$C$43+MIN(MAX(MAX(0,G$5-'Control Panel'!$C$38)-'Control Panel'!$B$43,0),'Control Panel'!$B$44-'Control Panel'!$B$43)*'Control Panel'!$C$44+MIN(MAX(MAX(0,G$5-'Control Panel'!$C$38)-'Control Panel'!$B$44,0),'Control Panel'!$B$45-'Control Panel'!$B$44)*'Control Panel'!$C$45+MAX(MAX(0,G$5-'Control Panel'!$C$38)-'Control Panel'!$B$45,0)*'Control Panel'!$C$46),$A12*'Control Panel'!$B$49))-('Control Panel'!$B$11+G$5*'Control Panel'!$B$10))/($A12+MIN((MIN(MAX(0,G$5-'Control Panel'!$C$38),'Control Panel'!$B$43)*'Control Panel'!$C$43+MIN(MAX(MAX(0,G$5-'Control Panel'!$C$38)-'Control Panel'!$B$43,0),'Control Panel'!$B$44-'Control Panel'!$B$43)*'Control Panel'!$C$44+MIN(MAX(MAX(0,G$5-'Control Panel'!$C$38)-'Control Panel'!$B$44,0),'Control Panel'!$B$45-'Control Panel'!$B$44)*'Control Panel'!$C$45+MAX(MAX(0,G$5-'Control Panel'!$C$38)-'Control Panel'!$B$45,0)*'Control Panel'!$C$46),$A12*'Control Panel'!$B$49))</f>
        <v/>
      </c>
      <c r="H12" s="26">
        <f>(($A12+MIN((MIN(MAX(0,H$5-'Control Panel'!$C$38),'Control Panel'!$B$43)*'Control Panel'!$C$43+MIN(MAX(MAX(0,H$5-'Control Panel'!$C$38)-'Control Panel'!$B$43,0),'Control Panel'!$B$44-'Control Panel'!$B$43)*'Control Panel'!$C$44+MIN(MAX(MAX(0,H$5-'Control Panel'!$C$38)-'Control Panel'!$B$44,0),'Control Panel'!$B$45-'Control Panel'!$B$44)*'Control Panel'!$C$45+MAX(MAX(0,H$5-'Control Panel'!$C$38)-'Control Panel'!$B$45,0)*'Control Panel'!$C$46),$A12*'Control Panel'!$B$49))-('Control Panel'!$B$11+H$5*'Control Panel'!$B$10))/($A12+MIN((MIN(MAX(0,H$5-'Control Panel'!$C$38),'Control Panel'!$B$43)*'Control Panel'!$C$43+MIN(MAX(MAX(0,H$5-'Control Panel'!$C$38)-'Control Panel'!$B$43,0),'Control Panel'!$B$44-'Control Panel'!$B$43)*'Control Panel'!$C$44+MIN(MAX(MAX(0,H$5-'Control Panel'!$C$38)-'Control Panel'!$B$44,0),'Control Panel'!$B$45-'Control Panel'!$B$44)*'Control Panel'!$C$45+MAX(MAX(0,H$5-'Control Panel'!$C$38)-'Control Panel'!$B$45,0)*'Control Panel'!$C$46),$A12*'Control Panel'!$B$49))</f>
        <v/>
      </c>
      <c r="I12" s="26">
        <f>(($A12+MIN((MIN(MAX(0,I$5-'Control Panel'!$C$38),'Control Panel'!$B$43)*'Control Panel'!$C$43+MIN(MAX(MAX(0,I$5-'Control Panel'!$C$38)-'Control Panel'!$B$43,0),'Control Panel'!$B$44-'Control Panel'!$B$43)*'Control Panel'!$C$44+MIN(MAX(MAX(0,I$5-'Control Panel'!$C$38)-'Control Panel'!$B$44,0),'Control Panel'!$B$45-'Control Panel'!$B$44)*'Control Panel'!$C$45+MAX(MAX(0,I$5-'Control Panel'!$C$38)-'Control Panel'!$B$45,0)*'Control Panel'!$C$46),$A12*'Control Panel'!$B$49))-('Control Panel'!$B$11+I$5*'Control Panel'!$B$10))/($A12+MIN((MIN(MAX(0,I$5-'Control Panel'!$C$38),'Control Panel'!$B$43)*'Control Panel'!$C$43+MIN(MAX(MAX(0,I$5-'Control Panel'!$C$38)-'Control Panel'!$B$43,0),'Control Panel'!$B$44-'Control Panel'!$B$43)*'Control Panel'!$C$44+MIN(MAX(MAX(0,I$5-'Control Panel'!$C$38)-'Control Panel'!$B$44,0),'Control Panel'!$B$45-'Control Panel'!$B$44)*'Control Panel'!$C$45+MAX(MAX(0,I$5-'Control Panel'!$C$38)-'Control Panel'!$B$45,0)*'Control Panel'!$C$46),$A12*'Control Panel'!$B$49))</f>
        <v/>
      </c>
      <c r="J12" s="26">
        <f>(($A12+MIN((MIN(MAX(0,J$5-'Control Panel'!$C$38),'Control Panel'!$B$43)*'Control Panel'!$C$43+MIN(MAX(MAX(0,J$5-'Control Panel'!$C$38)-'Control Panel'!$B$43,0),'Control Panel'!$B$44-'Control Panel'!$B$43)*'Control Panel'!$C$44+MIN(MAX(MAX(0,J$5-'Control Panel'!$C$38)-'Control Panel'!$B$44,0),'Control Panel'!$B$45-'Control Panel'!$B$44)*'Control Panel'!$C$45+MAX(MAX(0,J$5-'Control Panel'!$C$38)-'Control Panel'!$B$45,0)*'Control Panel'!$C$46),$A12*'Control Panel'!$B$49))-('Control Panel'!$B$11+J$5*'Control Panel'!$B$10))/($A12+MIN((MIN(MAX(0,J$5-'Control Panel'!$C$38),'Control Panel'!$B$43)*'Control Panel'!$C$43+MIN(MAX(MAX(0,J$5-'Control Panel'!$C$38)-'Control Panel'!$B$43,0),'Control Panel'!$B$44-'Control Panel'!$B$43)*'Control Panel'!$C$44+MIN(MAX(MAX(0,J$5-'Control Panel'!$C$38)-'Control Panel'!$B$44,0),'Control Panel'!$B$45-'Control Panel'!$B$44)*'Control Panel'!$C$45+MAX(MAX(0,J$5-'Control Panel'!$C$38)-'Control Panel'!$B$45,0)*'Control Panel'!$C$46),$A12*'Control Panel'!$B$49))</f>
        <v/>
      </c>
      <c r="K12" s="26">
        <f>(($A12+MIN((MIN(MAX(0,K$5-'Control Panel'!$C$38),'Control Panel'!$B$43)*'Control Panel'!$C$43+MIN(MAX(MAX(0,K$5-'Control Panel'!$C$38)-'Control Panel'!$B$43,0),'Control Panel'!$B$44-'Control Panel'!$B$43)*'Control Panel'!$C$44+MIN(MAX(MAX(0,K$5-'Control Panel'!$C$38)-'Control Panel'!$B$44,0),'Control Panel'!$B$45-'Control Panel'!$B$44)*'Control Panel'!$C$45+MAX(MAX(0,K$5-'Control Panel'!$C$38)-'Control Panel'!$B$45,0)*'Control Panel'!$C$46),$A12*'Control Panel'!$B$49))-('Control Panel'!$B$11+K$5*'Control Panel'!$B$10))/($A12+MIN((MIN(MAX(0,K$5-'Control Panel'!$C$38),'Control Panel'!$B$43)*'Control Panel'!$C$43+MIN(MAX(MAX(0,K$5-'Control Panel'!$C$38)-'Control Panel'!$B$43,0),'Control Panel'!$B$44-'Control Panel'!$B$43)*'Control Panel'!$C$44+MIN(MAX(MAX(0,K$5-'Control Panel'!$C$38)-'Control Panel'!$B$44,0),'Control Panel'!$B$45-'Control Panel'!$B$44)*'Control Panel'!$C$45+MAX(MAX(0,K$5-'Control Panel'!$C$38)-'Control Panel'!$B$45,0)*'Control Panel'!$C$46),$A12*'Control Panel'!$B$49))</f>
        <v/>
      </c>
    </row>
    <row r="13">
      <c r="A13" s="17" t="n">
        <v>599</v>
      </c>
      <c r="B13" s="26">
        <f>(($A13+MIN((MIN(MAX(0,B$5-'Control Panel'!$C$38),'Control Panel'!$B$43)*'Control Panel'!$C$43+MIN(MAX(MAX(0,B$5-'Control Panel'!$C$38)-'Control Panel'!$B$43,0),'Control Panel'!$B$44-'Control Panel'!$B$43)*'Control Panel'!$C$44+MIN(MAX(MAX(0,B$5-'Control Panel'!$C$38)-'Control Panel'!$B$44,0),'Control Panel'!$B$45-'Control Panel'!$B$44)*'Control Panel'!$C$45+MAX(MAX(0,B$5-'Control Panel'!$C$38)-'Control Panel'!$B$45,0)*'Control Panel'!$C$46),$A13*'Control Panel'!$B$49))-('Control Panel'!$B$11+B$5*'Control Panel'!$B$10))/($A13+MIN((MIN(MAX(0,B$5-'Control Panel'!$C$38),'Control Panel'!$B$43)*'Control Panel'!$C$43+MIN(MAX(MAX(0,B$5-'Control Panel'!$C$38)-'Control Panel'!$B$43,0),'Control Panel'!$B$44-'Control Panel'!$B$43)*'Control Panel'!$C$44+MIN(MAX(MAX(0,B$5-'Control Panel'!$C$38)-'Control Panel'!$B$44,0),'Control Panel'!$B$45-'Control Panel'!$B$44)*'Control Panel'!$C$45+MAX(MAX(0,B$5-'Control Panel'!$C$38)-'Control Panel'!$B$45,0)*'Control Panel'!$C$46),$A13*'Control Panel'!$B$49))</f>
        <v/>
      </c>
      <c r="C13" s="26">
        <f>(($A13+MIN((MIN(MAX(0,C$5-'Control Panel'!$C$38),'Control Panel'!$B$43)*'Control Panel'!$C$43+MIN(MAX(MAX(0,C$5-'Control Panel'!$C$38)-'Control Panel'!$B$43,0),'Control Panel'!$B$44-'Control Panel'!$B$43)*'Control Panel'!$C$44+MIN(MAX(MAX(0,C$5-'Control Panel'!$C$38)-'Control Panel'!$B$44,0),'Control Panel'!$B$45-'Control Panel'!$B$44)*'Control Panel'!$C$45+MAX(MAX(0,C$5-'Control Panel'!$C$38)-'Control Panel'!$B$45,0)*'Control Panel'!$C$46),$A13*'Control Panel'!$B$49))-('Control Panel'!$B$11+C$5*'Control Panel'!$B$10))/($A13+MIN((MIN(MAX(0,C$5-'Control Panel'!$C$38),'Control Panel'!$B$43)*'Control Panel'!$C$43+MIN(MAX(MAX(0,C$5-'Control Panel'!$C$38)-'Control Panel'!$B$43,0),'Control Panel'!$B$44-'Control Panel'!$B$43)*'Control Panel'!$C$44+MIN(MAX(MAX(0,C$5-'Control Panel'!$C$38)-'Control Panel'!$B$44,0),'Control Panel'!$B$45-'Control Panel'!$B$44)*'Control Panel'!$C$45+MAX(MAX(0,C$5-'Control Panel'!$C$38)-'Control Panel'!$B$45,0)*'Control Panel'!$C$46),$A13*'Control Panel'!$B$49))</f>
        <v/>
      </c>
      <c r="D13" s="26">
        <f>(($A13+MIN((MIN(MAX(0,D$5-'Control Panel'!$C$38),'Control Panel'!$B$43)*'Control Panel'!$C$43+MIN(MAX(MAX(0,D$5-'Control Panel'!$C$38)-'Control Panel'!$B$43,0),'Control Panel'!$B$44-'Control Panel'!$B$43)*'Control Panel'!$C$44+MIN(MAX(MAX(0,D$5-'Control Panel'!$C$38)-'Control Panel'!$B$44,0),'Control Panel'!$B$45-'Control Panel'!$B$44)*'Control Panel'!$C$45+MAX(MAX(0,D$5-'Control Panel'!$C$38)-'Control Panel'!$B$45,0)*'Control Panel'!$C$46),$A13*'Control Panel'!$B$49))-('Control Panel'!$B$11+D$5*'Control Panel'!$B$10))/($A13+MIN((MIN(MAX(0,D$5-'Control Panel'!$C$38),'Control Panel'!$B$43)*'Control Panel'!$C$43+MIN(MAX(MAX(0,D$5-'Control Panel'!$C$38)-'Control Panel'!$B$43,0),'Control Panel'!$B$44-'Control Panel'!$B$43)*'Control Panel'!$C$44+MIN(MAX(MAX(0,D$5-'Control Panel'!$C$38)-'Control Panel'!$B$44,0),'Control Panel'!$B$45-'Control Panel'!$B$44)*'Control Panel'!$C$45+MAX(MAX(0,D$5-'Control Panel'!$C$38)-'Control Panel'!$B$45,0)*'Control Panel'!$C$46),$A13*'Control Panel'!$B$49))</f>
        <v/>
      </c>
      <c r="E13" s="26">
        <f>(($A13+MIN((MIN(MAX(0,E$5-'Control Panel'!$C$38),'Control Panel'!$B$43)*'Control Panel'!$C$43+MIN(MAX(MAX(0,E$5-'Control Panel'!$C$38)-'Control Panel'!$B$43,0),'Control Panel'!$B$44-'Control Panel'!$B$43)*'Control Panel'!$C$44+MIN(MAX(MAX(0,E$5-'Control Panel'!$C$38)-'Control Panel'!$B$44,0),'Control Panel'!$B$45-'Control Panel'!$B$44)*'Control Panel'!$C$45+MAX(MAX(0,E$5-'Control Panel'!$C$38)-'Control Panel'!$B$45,0)*'Control Panel'!$C$46),$A13*'Control Panel'!$B$49))-('Control Panel'!$B$11+E$5*'Control Panel'!$B$10))/($A13+MIN((MIN(MAX(0,E$5-'Control Panel'!$C$38),'Control Panel'!$B$43)*'Control Panel'!$C$43+MIN(MAX(MAX(0,E$5-'Control Panel'!$C$38)-'Control Panel'!$B$43,0),'Control Panel'!$B$44-'Control Panel'!$B$43)*'Control Panel'!$C$44+MIN(MAX(MAX(0,E$5-'Control Panel'!$C$38)-'Control Panel'!$B$44,0),'Control Panel'!$B$45-'Control Panel'!$B$44)*'Control Panel'!$C$45+MAX(MAX(0,E$5-'Control Panel'!$C$38)-'Control Panel'!$B$45,0)*'Control Panel'!$C$46),$A13*'Control Panel'!$B$49))</f>
        <v/>
      </c>
      <c r="F13" s="26">
        <f>(($A13+MIN((MIN(MAX(0,F$5-'Control Panel'!$C$38),'Control Panel'!$B$43)*'Control Panel'!$C$43+MIN(MAX(MAX(0,F$5-'Control Panel'!$C$38)-'Control Panel'!$B$43,0),'Control Panel'!$B$44-'Control Panel'!$B$43)*'Control Panel'!$C$44+MIN(MAX(MAX(0,F$5-'Control Panel'!$C$38)-'Control Panel'!$B$44,0),'Control Panel'!$B$45-'Control Panel'!$B$44)*'Control Panel'!$C$45+MAX(MAX(0,F$5-'Control Panel'!$C$38)-'Control Panel'!$B$45,0)*'Control Panel'!$C$46),$A13*'Control Panel'!$B$49))-('Control Panel'!$B$11+F$5*'Control Panel'!$B$10))/($A13+MIN((MIN(MAX(0,F$5-'Control Panel'!$C$38),'Control Panel'!$B$43)*'Control Panel'!$C$43+MIN(MAX(MAX(0,F$5-'Control Panel'!$C$38)-'Control Panel'!$B$43,0),'Control Panel'!$B$44-'Control Panel'!$B$43)*'Control Panel'!$C$44+MIN(MAX(MAX(0,F$5-'Control Panel'!$C$38)-'Control Panel'!$B$44,0),'Control Panel'!$B$45-'Control Panel'!$B$44)*'Control Panel'!$C$45+MAX(MAX(0,F$5-'Control Panel'!$C$38)-'Control Panel'!$B$45,0)*'Control Panel'!$C$46),$A13*'Control Panel'!$B$49))</f>
        <v/>
      </c>
      <c r="G13" s="26">
        <f>(($A13+MIN((MIN(MAX(0,G$5-'Control Panel'!$C$38),'Control Panel'!$B$43)*'Control Panel'!$C$43+MIN(MAX(MAX(0,G$5-'Control Panel'!$C$38)-'Control Panel'!$B$43,0),'Control Panel'!$B$44-'Control Panel'!$B$43)*'Control Panel'!$C$44+MIN(MAX(MAX(0,G$5-'Control Panel'!$C$38)-'Control Panel'!$B$44,0),'Control Panel'!$B$45-'Control Panel'!$B$44)*'Control Panel'!$C$45+MAX(MAX(0,G$5-'Control Panel'!$C$38)-'Control Panel'!$B$45,0)*'Control Panel'!$C$46),$A13*'Control Panel'!$B$49))-('Control Panel'!$B$11+G$5*'Control Panel'!$B$10))/($A13+MIN((MIN(MAX(0,G$5-'Control Panel'!$C$38),'Control Panel'!$B$43)*'Control Panel'!$C$43+MIN(MAX(MAX(0,G$5-'Control Panel'!$C$38)-'Control Panel'!$B$43,0),'Control Panel'!$B$44-'Control Panel'!$B$43)*'Control Panel'!$C$44+MIN(MAX(MAX(0,G$5-'Control Panel'!$C$38)-'Control Panel'!$B$44,0),'Control Panel'!$B$45-'Control Panel'!$B$44)*'Control Panel'!$C$45+MAX(MAX(0,G$5-'Control Panel'!$C$38)-'Control Panel'!$B$45,0)*'Control Panel'!$C$46),$A13*'Control Panel'!$B$49))</f>
        <v/>
      </c>
      <c r="H13" s="26">
        <f>(($A13+MIN((MIN(MAX(0,H$5-'Control Panel'!$C$38),'Control Panel'!$B$43)*'Control Panel'!$C$43+MIN(MAX(MAX(0,H$5-'Control Panel'!$C$38)-'Control Panel'!$B$43,0),'Control Panel'!$B$44-'Control Panel'!$B$43)*'Control Panel'!$C$44+MIN(MAX(MAX(0,H$5-'Control Panel'!$C$38)-'Control Panel'!$B$44,0),'Control Panel'!$B$45-'Control Panel'!$B$44)*'Control Panel'!$C$45+MAX(MAX(0,H$5-'Control Panel'!$C$38)-'Control Panel'!$B$45,0)*'Control Panel'!$C$46),$A13*'Control Panel'!$B$49))-('Control Panel'!$B$11+H$5*'Control Panel'!$B$10))/($A13+MIN((MIN(MAX(0,H$5-'Control Panel'!$C$38),'Control Panel'!$B$43)*'Control Panel'!$C$43+MIN(MAX(MAX(0,H$5-'Control Panel'!$C$38)-'Control Panel'!$B$43,0),'Control Panel'!$B$44-'Control Panel'!$B$43)*'Control Panel'!$C$44+MIN(MAX(MAX(0,H$5-'Control Panel'!$C$38)-'Control Panel'!$B$44,0),'Control Panel'!$B$45-'Control Panel'!$B$44)*'Control Panel'!$C$45+MAX(MAX(0,H$5-'Control Panel'!$C$38)-'Control Panel'!$B$45,0)*'Control Panel'!$C$46),$A13*'Control Panel'!$B$49))</f>
        <v/>
      </c>
      <c r="I13" s="26">
        <f>(($A13+MIN((MIN(MAX(0,I$5-'Control Panel'!$C$38),'Control Panel'!$B$43)*'Control Panel'!$C$43+MIN(MAX(MAX(0,I$5-'Control Panel'!$C$38)-'Control Panel'!$B$43,0),'Control Panel'!$B$44-'Control Panel'!$B$43)*'Control Panel'!$C$44+MIN(MAX(MAX(0,I$5-'Control Panel'!$C$38)-'Control Panel'!$B$44,0),'Control Panel'!$B$45-'Control Panel'!$B$44)*'Control Panel'!$C$45+MAX(MAX(0,I$5-'Control Panel'!$C$38)-'Control Panel'!$B$45,0)*'Control Panel'!$C$46),$A13*'Control Panel'!$B$49))-('Control Panel'!$B$11+I$5*'Control Panel'!$B$10))/($A13+MIN((MIN(MAX(0,I$5-'Control Panel'!$C$38),'Control Panel'!$B$43)*'Control Panel'!$C$43+MIN(MAX(MAX(0,I$5-'Control Panel'!$C$38)-'Control Panel'!$B$43,0),'Control Panel'!$B$44-'Control Panel'!$B$43)*'Control Panel'!$C$44+MIN(MAX(MAX(0,I$5-'Control Panel'!$C$38)-'Control Panel'!$B$44,0),'Control Panel'!$B$45-'Control Panel'!$B$44)*'Control Panel'!$C$45+MAX(MAX(0,I$5-'Control Panel'!$C$38)-'Control Panel'!$B$45,0)*'Control Panel'!$C$46),$A13*'Control Panel'!$B$49))</f>
        <v/>
      </c>
      <c r="J13" s="26">
        <f>(($A13+MIN((MIN(MAX(0,J$5-'Control Panel'!$C$38),'Control Panel'!$B$43)*'Control Panel'!$C$43+MIN(MAX(MAX(0,J$5-'Control Panel'!$C$38)-'Control Panel'!$B$43,0),'Control Panel'!$B$44-'Control Panel'!$B$43)*'Control Panel'!$C$44+MIN(MAX(MAX(0,J$5-'Control Panel'!$C$38)-'Control Panel'!$B$44,0),'Control Panel'!$B$45-'Control Panel'!$B$44)*'Control Panel'!$C$45+MAX(MAX(0,J$5-'Control Panel'!$C$38)-'Control Panel'!$B$45,0)*'Control Panel'!$C$46),$A13*'Control Panel'!$B$49))-('Control Panel'!$B$11+J$5*'Control Panel'!$B$10))/($A13+MIN((MIN(MAX(0,J$5-'Control Panel'!$C$38),'Control Panel'!$B$43)*'Control Panel'!$C$43+MIN(MAX(MAX(0,J$5-'Control Panel'!$C$38)-'Control Panel'!$B$43,0),'Control Panel'!$B$44-'Control Panel'!$B$43)*'Control Panel'!$C$44+MIN(MAX(MAX(0,J$5-'Control Panel'!$C$38)-'Control Panel'!$B$44,0),'Control Panel'!$B$45-'Control Panel'!$B$44)*'Control Panel'!$C$45+MAX(MAX(0,J$5-'Control Panel'!$C$38)-'Control Panel'!$B$45,0)*'Control Panel'!$C$46),$A13*'Control Panel'!$B$49))</f>
        <v/>
      </c>
      <c r="K13" s="26">
        <f>(($A13+MIN((MIN(MAX(0,K$5-'Control Panel'!$C$38),'Control Panel'!$B$43)*'Control Panel'!$C$43+MIN(MAX(MAX(0,K$5-'Control Panel'!$C$38)-'Control Panel'!$B$43,0),'Control Panel'!$B$44-'Control Panel'!$B$43)*'Control Panel'!$C$44+MIN(MAX(MAX(0,K$5-'Control Panel'!$C$38)-'Control Panel'!$B$44,0),'Control Panel'!$B$45-'Control Panel'!$B$44)*'Control Panel'!$C$45+MAX(MAX(0,K$5-'Control Panel'!$C$38)-'Control Panel'!$B$45,0)*'Control Panel'!$C$46),$A13*'Control Panel'!$B$49))-('Control Panel'!$B$11+K$5*'Control Panel'!$B$10))/($A13+MIN((MIN(MAX(0,K$5-'Control Panel'!$C$38),'Control Panel'!$B$43)*'Control Panel'!$C$43+MIN(MAX(MAX(0,K$5-'Control Panel'!$C$38)-'Control Panel'!$B$43,0),'Control Panel'!$B$44-'Control Panel'!$B$43)*'Control Panel'!$C$44+MIN(MAX(MAX(0,K$5-'Control Panel'!$C$38)-'Control Panel'!$B$44,0),'Control Panel'!$B$45-'Control Panel'!$B$44)*'Control Panel'!$C$45+MAX(MAX(0,K$5-'Control Panel'!$C$38)-'Control Panel'!$B$45,0)*'Control Panel'!$C$46),$A13*'Control Panel'!$B$49))</f>
        <v/>
      </c>
    </row>
    <row r="14">
      <c r="A14" s="17" t="n">
        <v>649</v>
      </c>
      <c r="B14" s="26">
        <f>(($A14+MIN((MIN(MAX(0,B$5-'Control Panel'!$C$38),'Control Panel'!$B$43)*'Control Panel'!$C$43+MIN(MAX(MAX(0,B$5-'Control Panel'!$C$38)-'Control Panel'!$B$43,0),'Control Panel'!$B$44-'Control Panel'!$B$43)*'Control Panel'!$C$44+MIN(MAX(MAX(0,B$5-'Control Panel'!$C$38)-'Control Panel'!$B$44,0),'Control Panel'!$B$45-'Control Panel'!$B$44)*'Control Panel'!$C$45+MAX(MAX(0,B$5-'Control Panel'!$C$38)-'Control Panel'!$B$45,0)*'Control Panel'!$C$46),$A14*'Control Panel'!$B$49))-('Control Panel'!$B$11+B$5*'Control Panel'!$B$10))/($A14+MIN((MIN(MAX(0,B$5-'Control Panel'!$C$38),'Control Panel'!$B$43)*'Control Panel'!$C$43+MIN(MAX(MAX(0,B$5-'Control Panel'!$C$38)-'Control Panel'!$B$43,0),'Control Panel'!$B$44-'Control Panel'!$B$43)*'Control Panel'!$C$44+MIN(MAX(MAX(0,B$5-'Control Panel'!$C$38)-'Control Panel'!$B$44,0),'Control Panel'!$B$45-'Control Panel'!$B$44)*'Control Panel'!$C$45+MAX(MAX(0,B$5-'Control Panel'!$C$38)-'Control Panel'!$B$45,0)*'Control Panel'!$C$46),$A14*'Control Panel'!$B$49))</f>
        <v/>
      </c>
      <c r="C14" s="26">
        <f>(($A14+MIN((MIN(MAX(0,C$5-'Control Panel'!$C$38),'Control Panel'!$B$43)*'Control Panel'!$C$43+MIN(MAX(MAX(0,C$5-'Control Panel'!$C$38)-'Control Panel'!$B$43,0),'Control Panel'!$B$44-'Control Panel'!$B$43)*'Control Panel'!$C$44+MIN(MAX(MAX(0,C$5-'Control Panel'!$C$38)-'Control Panel'!$B$44,0),'Control Panel'!$B$45-'Control Panel'!$B$44)*'Control Panel'!$C$45+MAX(MAX(0,C$5-'Control Panel'!$C$38)-'Control Panel'!$B$45,0)*'Control Panel'!$C$46),$A14*'Control Panel'!$B$49))-('Control Panel'!$B$11+C$5*'Control Panel'!$B$10))/($A14+MIN((MIN(MAX(0,C$5-'Control Panel'!$C$38),'Control Panel'!$B$43)*'Control Panel'!$C$43+MIN(MAX(MAX(0,C$5-'Control Panel'!$C$38)-'Control Panel'!$B$43,0),'Control Panel'!$B$44-'Control Panel'!$B$43)*'Control Panel'!$C$44+MIN(MAX(MAX(0,C$5-'Control Panel'!$C$38)-'Control Panel'!$B$44,0),'Control Panel'!$B$45-'Control Panel'!$B$44)*'Control Panel'!$C$45+MAX(MAX(0,C$5-'Control Panel'!$C$38)-'Control Panel'!$B$45,0)*'Control Panel'!$C$46),$A14*'Control Panel'!$B$49))</f>
        <v/>
      </c>
      <c r="D14" s="26">
        <f>(($A14+MIN((MIN(MAX(0,D$5-'Control Panel'!$C$38),'Control Panel'!$B$43)*'Control Panel'!$C$43+MIN(MAX(MAX(0,D$5-'Control Panel'!$C$38)-'Control Panel'!$B$43,0),'Control Panel'!$B$44-'Control Panel'!$B$43)*'Control Panel'!$C$44+MIN(MAX(MAX(0,D$5-'Control Panel'!$C$38)-'Control Panel'!$B$44,0),'Control Panel'!$B$45-'Control Panel'!$B$44)*'Control Panel'!$C$45+MAX(MAX(0,D$5-'Control Panel'!$C$38)-'Control Panel'!$B$45,0)*'Control Panel'!$C$46),$A14*'Control Panel'!$B$49))-('Control Panel'!$B$11+D$5*'Control Panel'!$B$10))/($A14+MIN((MIN(MAX(0,D$5-'Control Panel'!$C$38),'Control Panel'!$B$43)*'Control Panel'!$C$43+MIN(MAX(MAX(0,D$5-'Control Panel'!$C$38)-'Control Panel'!$B$43,0),'Control Panel'!$B$44-'Control Panel'!$B$43)*'Control Panel'!$C$44+MIN(MAX(MAX(0,D$5-'Control Panel'!$C$38)-'Control Panel'!$B$44,0),'Control Panel'!$B$45-'Control Panel'!$B$44)*'Control Panel'!$C$45+MAX(MAX(0,D$5-'Control Panel'!$C$38)-'Control Panel'!$B$45,0)*'Control Panel'!$C$46),$A14*'Control Panel'!$B$49))</f>
        <v/>
      </c>
      <c r="E14" s="26">
        <f>(($A14+MIN((MIN(MAX(0,E$5-'Control Panel'!$C$38),'Control Panel'!$B$43)*'Control Panel'!$C$43+MIN(MAX(MAX(0,E$5-'Control Panel'!$C$38)-'Control Panel'!$B$43,0),'Control Panel'!$B$44-'Control Panel'!$B$43)*'Control Panel'!$C$44+MIN(MAX(MAX(0,E$5-'Control Panel'!$C$38)-'Control Panel'!$B$44,0),'Control Panel'!$B$45-'Control Panel'!$B$44)*'Control Panel'!$C$45+MAX(MAX(0,E$5-'Control Panel'!$C$38)-'Control Panel'!$B$45,0)*'Control Panel'!$C$46),$A14*'Control Panel'!$B$49))-('Control Panel'!$B$11+E$5*'Control Panel'!$B$10))/($A14+MIN((MIN(MAX(0,E$5-'Control Panel'!$C$38),'Control Panel'!$B$43)*'Control Panel'!$C$43+MIN(MAX(MAX(0,E$5-'Control Panel'!$C$38)-'Control Panel'!$B$43,0),'Control Panel'!$B$44-'Control Panel'!$B$43)*'Control Panel'!$C$44+MIN(MAX(MAX(0,E$5-'Control Panel'!$C$38)-'Control Panel'!$B$44,0),'Control Panel'!$B$45-'Control Panel'!$B$44)*'Control Panel'!$C$45+MAX(MAX(0,E$5-'Control Panel'!$C$38)-'Control Panel'!$B$45,0)*'Control Panel'!$C$46),$A14*'Control Panel'!$B$49))</f>
        <v/>
      </c>
      <c r="F14" s="26">
        <f>(($A14+MIN((MIN(MAX(0,F$5-'Control Panel'!$C$38),'Control Panel'!$B$43)*'Control Panel'!$C$43+MIN(MAX(MAX(0,F$5-'Control Panel'!$C$38)-'Control Panel'!$B$43,0),'Control Panel'!$B$44-'Control Panel'!$B$43)*'Control Panel'!$C$44+MIN(MAX(MAX(0,F$5-'Control Panel'!$C$38)-'Control Panel'!$B$44,0),'Control Panel'!$B$45-'Control Panel'!$B$44)*'Control Panel'!$C$45+MAX(MAX(0,F$5-'Control Panel'!$C$38)-'Control Panel'!$B$45,0)*'Control Panel'!$C$46),$A14*'Control Panel'!$B$49))-('Control Panel'!$B$11+F$5*'Control Panel'!$B$10))/($A14+MIN((MIN(MAX(0,F$5-'Control Panel'!$C$38),'Control Panel'!$B$43)*'Control Panel'!$C$43+MIN(MAX(MAX(0,F$5-'Control Panel'!$C$38)-'Control Panel'!$B$43,0),'Control Panel'!$B$44-'Control Panel'!$B$43)*'Control Panel'!$C$44+MIN(MAX(MAX(0,F$5-'Control Panel'!$C$38)-'Control Panel'!$B$44,0),'Control Panel'!$B$45-'Control Panel'!$B$44)*'Control Panel'!$C$45+MAX(MAX(0,F$5-'Control Panel'!$C$38)-'Control Panel'!$B$45,0)*'Control Panel'!$C$46),$A14*'Control Panel'!$B$49))</f>
        <v/>
      </c>
      <c r="G14" s="26">
        <f>(($A14+MIN((MIN(MAX(0,G$5-'Control Panel'!$C$38),'Control Panel'!$B$43)*'Control Panel'!$C$43+MIN(MAX(MAX(0,G$5-'Control Panel'!$C$38)-'Control Panel'!$B$43,0),'Control Panel'!$B$44-'Control Panel'!$B$43)*'Control Panel'!$C$44+MIN(MAX(MAX(0,G$5-'Control Panel'!$C$38)-'Control Panel'!$B$44,0),'Control Panel'!$B$45-'Control Panel'!$B$44)*'Control Panel'!$C$45+MAX(MAX(0,G$5-'Control Panel'!$C$38)-'Control Panel'!$B$45,0)*'Control Panel'!$C$46),$A14*'Control Panel'!$B$49))-('Control Panel'!$B$11+G$5*'Control Panel'!$B$10))/($A14+MIN((MIN(MAX(0,G$5-'Control Panel'!$C$38),'Control Panel'!$B$43)*'Control Panel'!$C$43+MIN(MAX(MAX(0,G$5-'Control Panel'!$C$38)-'Control Panel'!$B$43,0),'Control Panel'!$B$44-'Control Panel'!$B$43)*'Control Panel'!$C$44+MIN(MAX(MAX(0,G$5-'Control Panel'!$C$38)-'Control Panel'!$B$44,0),'Control Panel'!$B$45-'Control Panel'!$B$44)*'Control Panel'!$C$45+MAX(MAX(0,G$5-'Control Panel'!$C$38)-'Control Panel'!$B$45,0)*'Control Panel'!$C$46),$A14*'Control Panel'!$B$49))</f>
        <v/>
      </c>
      <c r="H14" s="26">
        <f>(($A14+MIN((MIN(MAX(0,H$5-'Control Panel'!$C$38),'Control Panel'!$B$43)*'Control Panel'!$C$43+MIN(MAX(MAX(0,H$5-'Control Panel'!$C$38)-'Control Panel'!$B$43,0),'Control Panel'!$B$44-'Control Panel'!$B$43)*'Control Panel'!$C$44+MIN(MAX(MAX(0,H$5-'Control Panel'!$C$38)-'Control Panel'!$B$44,0),'Control Panel'!$B$45-'Control Panel'!$B$44)*'Control Panel'!$C$45+MAX(MAX(0,H$5-'Control Panel'!$C$38)-'Control Panel'!$B$45,0)*'Control Panel'!$C$46),$A14*'Control Panel'!$B$49))-('Control Panel'!$B$11+H$5*'Control Panel'!$B$10))/($A14+MIN((MIN(MAX(0,H$5-'Control Panel'!$C$38),'Control Panel'!$B$43)*'Control Panel'!$C$43+MIN(MAX(MAX(0,H$5-'Control Panel'!$C$38)-'Control Panel'!$B$43,0),'Control Panel'!$B$44-'Control Panel'!$B$43)*'Control Panel'!$C$44+MIN(MAX(MAX(0,H$5-'Control Panel'!$C$38)-'Control Panel'!$B$44,0),'Control Panel'!$B$45-'Control Panel'!$B$44)*'Control Panel'!$C$45+MAX(MAX(0,H$5-'Control Panel'!$C$38)-'Control Panel'!$B$45,0)*'Control Panel'!$C$46),$A14*'Control Panel'!$B$49))</f>
        <v/>
      </c>
      <c r="I14" s="26">
        <f>(($A14+MIN((MIN(MAX(0,I$5-'Control Panel'!$C$38),'Control Panel'!$B$43)*'Control Panel'!$C$43+MIN(MAX(MAX(0,I$5-'Control Panel'!$C$38)-'Control Panel'!$B$43,0),'Control Panel'!$B$44-'Control Panel'!$B$43)*'Control Panel'!$C$44+MIN(MAX(MAX(0,I$5-'Control Panel'!$C$38)-'Control Panel'!$B$44,0),'Control Panel'!$B$45-'Control Panel'!$B$44)*'Control Panel'!$C$45+MAX(MAX(0,I$5-'Control Panel'!$C$38)-'Control Panel'!$B$45,0)*'Control Panel'!$C$46),$A14*'Control Panel'!$B$49))-('Control Panel'!$B$11+I$5*'Control Panel'!$B$10))/($A14+MIN((MIN(MAX(0,I$5-'Control Panel'!$C$38),'Control Panel'!$B$43)*'Control Panel'!$C$43+MIN(MAX(MAX(0,I$5-'Control Panel'!$C$38)-'Control Panel'!$B$43,0),'Control Panel'!$B$44-'Control Panel'!$B$43)*'Control Panel'!$C$44+MIN(MAX(MAX(0,I$5-'Control Panel'!$C$38)-'Control Panel'!$B$44,0),'Control Panel'!$B$45-'Control Panel'!$B$44)*'Control Panel'!$C$45+MAX(MAX(0,I$5-'Control Panel'!$C$38)-'Control Panel'!$B$45,0)*'Control Panel'!$C$46),$A14*'Control Panel'!$B$49))</f>
        <v/>
      </c>
      <c r="J14" s="26">
        <f>(($A14+MIN((MIN(MAX(0,J$5-'Control Panel'!$C$38),'Control Panel'!$B$43)*'Control Panel'!$C$43+MIN(MAX(MAX(0,J$5-'Control Panel'!$C$38)-'Control Panel'!$B$43,0),'Control Panel'!$B$44-'Control Panel'!$B$43)*'Control Panel'!$C$44+MIN(MAX(MAX(0,J$5-'Control Panel'!$C$38)-'Control Panel'!$B$44,0),'Control Panel'!$B$45-'Control Panel'!$B$44)*'Control Panel'!$C$45+MAX(MAX(0,J$5-'Control Panel'!$C$38)-'Control Panel'!$B$45,0)*'Control Panel'!$C$46),$A14*'Control Panel'!$B$49))-('Control Panel'!$B$11+J$5*'Control Panel'!$B$10))/($A14+MIN((MIN(MAX(0,J$5-'Control Panel'!$C$38),'Control Panel'!$B$43)*'Control Panel'!$C$43+MIN(MAX(MAX(0,J$5-'Control Panel'!$C$38)-'Control Panel'!$B$43,0),'Control Panel'!$B$44-'Control Panel'!$B$43)*'Control Panel'!$C$44+MIN(MAX(MAX(0,J$5-'Control Panel'!$C$38)-'Control Panel'!$B$44,0),'Control Panel'!$B$45-'Control Panel'!$B$44)*'Control Panel'!$C$45+MAX(MAX(0,J$5-'Control Panel'!$C$38)-'Control Panel'!$B$45,0)*'Control Panel'!$C$46),$A14*'Control Panel'!$B$49))</f>
        <v/>
      </c>
      <c r="K14" s="26">
        <f>(($A14+MIN((MIN(MAX(0,K$5-'Control Panel'!$C$38),'Control Panel'!$B$43)*'Control Panel'!$C$43+MIN(MAX(MAX(0,K$5-'Control Panel'!$C$38)-'Control Panel'!$B$43,0),'Control Panel'!$B$44-'Control Panel'!$B$43)*'Control Panel'!$C$44+MIN(MAX(MAX(0,K$5-'Control Panel'!$C$38)-'Control Panel'!$B$44,0),'Control Panel'!$B$45-'Control Panel'!$B$44)*'Control Panel'!$C$45+MAX(MAX(0,K$5-'Control Panel'!$C$38)-'Control Panel'!$B$45,0)*'Control Panel'!$C$46),$A14*'Control Panel'!$B$49))-('Control Panel'!$B$11+K$5*'Control Panel'!$B$10))/($A14+MIN((MIN(MAX(0,K$5-'Control Panel'!$C$38),'Control Panel'!$B$43)*'Control Panel'!$C$43+MIN(MAX(MAX(0,K$5-'Control Panel'!$C$38)-'Control Panel'!$B$43,0),'Control Panel'!$B$44-'Control Panel'!$B$43)*'Control Panel'!$C$44+MIN(MAX(MAX(0,K$5-'Control Panel'!$C$38)-'Control Panel'!$B$44,0),'Control Panel'!$B$45-'Control Panel'!$B$44)*'Control Panel'!$C$45+MAX(MAX(0,K$5-'Control Panel'!$C$38)-'Control Panel'!$B$45,0)*'Control Panel'!$C$46),$A14*'Control Panel'!$B$49))</f>
        <v/>
      </c>
    </row>
    <row r="15">
      <c r="A15" s="17" t="n">
        <v>699</v>
      </c>
      <c r="B15" s="26">
        <f>(($A15+MIN((MIN(MAX(0,B$5-'Control Panel'!$C$38),'Control Panel'!$B$43)*'Control Panel'!$C$43+MIN(MAX(MAX(0,B$5-'Control Panel'!$C$38)-'Control Panel'!$B$43,0),'Control Panel'!$B$44-'Control Panel'!$B$43)*'Control Panel'!$C$44+MIN(MAX(MAX(0,B$5-'Control Panel'!$C$38)-'Control Panel'!$B$44,0),'Control Panel'!$B$45-'Control Panel'!$B$44)*'Control Panel'!$C$45+MAX(MAX(0,B$5-'Control Panel'!$C$38)-'Control Panel'!$B$45,0)*'Control Panel'!$C$46),$A15*'Control Panel'!$B$49))-('Control Panel'!$B$11+B$5*'Control Panel'!$B$10))/($A15+MIN((MIN(MAX(0,B$5-'Control Panel'!$C$38),'Control Panel'!$B$43)*'Control Panel'!$C$43+MIN(MAX(MAX(0,B$5-'Control Panel'!$C$38)-'Control Panel'!$B$43,0),'Control Panel'!$B$44-'Control Panel'!$B$43)*'Control Panel'!$C$44+MIN(MAX(MAX(0,B$5-'Control Panel'!$C$38)-'Control Panel'!$B$44,0),'Control Panel'!$B$45-'Control Panel'!$B$44)*'Control Panel'!$C$45+MAX(MAX(0,B$5-'Control Panel'!$C$38)-'Control Panel'!$B$45,0)*'Control Panel'!$C$46),$A15*'Control Panel'!$B$49))</f>
        <v/>
      </c>
      <c r="C15" s="26">
        <f>(($A15+MIN((MIN(MAX(0,C$5-'Control Panel'!$C$38),'Control Panel'!$B$43)*'Control Panel'!$C$43+MIN(MAX(MAX(0,C$5-'Control Panel'!$C$38)-'Control Panel'!$B$43,0),'Control Panel'!$B$44-'Control Panel'!$B$43)*'Control Panel'!$C$44+MIN(MAX(MAX(0,C$5-'Control Panel'!$C$38)-'Control Panel'!$B$44,0),'Control Panel'!$B$45-'Control Panel'!$B$44)*'Control Panel'!$C$45+MAX(MAX(0,C$5-'Control Panel'!$C$38)-'Control Panel'!$B$45,0)*'Control Panel'!$C$46),$A15*'Control Panel'!$B$49))-('Control Panel'!$B$11+C$5*'Control Panel'!$B$10))/($A15+MIN((MIN(MAX(0,C$5-'Control Panel'!$C$38),'Control Panel'!$B$43)*'Control Panel'!$C$43+MIN(MAX(MAX(0,C$5-'Control Panel'!$C$38)-'Control Panel'!$B$43,0),'Control Panel'!$B$44-'Control Panel'!$B$43)*'Control Panel'!$C$44+MIN(MAX(MAX(0,C$5-'Control Panel'!$C$38)-'Control Panel'!$B$44,0),'Control Panel'!$B$45-'Control Panel'!$B$44)*'Control Panel'!$C$45+MAX(MAX(0,C$5-'Control Panel'!$C$38)-'Control Panel'!$B$45,0)*'Control Panel'!$C$46),$A15*'Control Panel'!$B$49))</f>
        <v/>
      </c>
      <c r="D15" s="26">
        <f>(($A15+MIN((MIN(MAX(0,D$5-'Control Panel'!$C$38),'Control Panel'!$B$43)*'Control Panel'!$C$43+MIN(MAX(MAX(0,D$5-'Control Panel'!$C$38)-'Control Panel'!$B$43,0),'Control Panel'!$B$44-'Control Panel'!$B$43)*'Control Panel'!$C$44+MIN(MAX(MAX(0,D$5-'Control Panel'!$C$38)-'Control Panel'!$B$44,0),'Control Panel'!$B$45-'Control Panel'!$B$44)*'Control Panel'!$C$45+MAX(MAX(0,D$5-'Control Panel'!$C$38)-'Control Panel'!$B$45,0)*'Control Panel'!$C$46),$A15*'Control Panel'!$B$49))-('Control Panel'!$B$11+D$5*'Control Panel'!$B$10))/($A15+MIN((MIN(MAX(0,D$5-'Control Panel'!$C$38),'Control Panel'!$B$43)*'Control Panel'!$C$43+MIN(MAX(MAX(0,D$5-'Control Panel'!$C$38)-'Control Panel'!$B$43,0),'Control Panel'!$B$44-'Control Panel'!$B$43)*'Control Panel'!$C$44+MIN(MAX(MAX(0,D$5-'Control Panel'!$C$38)-'Control Panel'!$B$44,0),'Control Panel'!$B$45-'Control Panel'!$B$44)*'Control Panel'!$C$45+MAX(MAX(0,D$5-'Control Panel'!$C$38)-'Control Panel'!$B$45,0)*'Control Panel'!$C$46),$A15*'Control Panel'!$B$49))</f>
        <v/>
      </c>
      <c r="E15" s="26">
        <f>(($A15+MIN((MIN(MAX(0,E$5-'Control Panel'!$C$38),'Control Panel'!$B$43)*'Control Panel'!$C$43+MIN(MAX(MAX(0,E$5-'Control Panel'!$C$38)-'Control Panel'!$B$43,0),'Control Panel'!$B$44-'Control Panel'!$B$43)*'Control Panel'!$C$44+MIN(MAX(MAX(0,E$5-'Control Panel'!$C$38)-'Control Panel'!$B$44,0),'Control Panel'!$B$45-'Control Panel'!$B$44)*'Control Panel'!$C$45+MAX(MAX(0,E$5-'Control Panel'!$C$38)-'Control Panel'!$B$45,0)*'Control Panel'!$C$46),$A15*'Control Panel'!$B$49))-('Control Panel'!$B$11+E$5*'Control Panel'!$B$10))/($A15+MIN((MIN(MAX(0,E$5-'Control Panel'!$C$38),'Control Panel'!$B$43)*'Control Panel'!$C$43+MIN(MAX(MAX(0,E$5-'Control Panel'!$C$38)-'Control Panel'!$B$43,0),'Control Panel'!$B$44-'Control Panel'!$B$43)*'Control Panel'!$C$44+MIN(MAX(MAX(0,E$5-'Control Panel'!$C$38)-'Control Panel'!$B$44,0),'Control Panel'!$B$45-'Control Panel'!$B$44)*'Control Panel'!$C$45+MAX(MAX(0,E$5-'Control Panel'!$C$38)-'Control Panel'!$B$45,0)*'Control Panel'!$C$46),$A15*'Control Panel'!$B$49))</f>
        <v/>
      </c>
      <c r="F15" s="26">
        <f>(($A15+MIN((MIN(MAX(0,F$5-'Control Panel'!$C$38),'Control Panel'!$B$43)*'Control Panel'!$C$43+MIN(MAX(MAX(0,F$5-'Control Panel'!$C$38)-'Control Panel'!$B$43,0),'Control Panel'!$B$44-'Control Panel'!$B$43)*'Control Panel'!$C$44+MIN(MAX(MAX(0,F$5-'Control Panel'!$C$38)-'Control Panel'!$B$44,0),'Control Panel'!$B$45-'Control Panel'!$B$44)*'Control Panel'!$C$45+MAX(MAX(0,F$5-'Control Panel'!$C$38)-'Control Panel'!$B$45,0)*'Control Panel'!$C$46),$A15*'Control Panel'!$B$49))-('Control Panel'!$B$11+F$5*'Control Panel'!$B$10))/($A15+MIN((MIN(MAX(0,F$5-'Control Panel'!$C$38),'Control Panel'!$B$43)*'Control Panel'!$C$43+MIN(MAX(MAX(0,F$5-'Control Panel'!$C$38)-'Control Panel'!$B$43,0),'Control Panel'!$B$44-'Control Panel'!$B$43)*'Control Panel'!$C$44+MIN(MAX(MAX(0,F$5-'Control Panel'!$C$38)-'Control Panel'!$B$44,0),'Control Panel'!$B$45-'Control Panel'!$B$44)*'Control Panel'!$C$45+MAX(MAX(0,F$5-'Control Panel'!$C$38)-'Control Panel'!$B$45,0)*'Control Panel'!$C$46),$A15*'Control Panel'!$B$49))</f>
        <v/>
      </c>
      <c r="G15" s="26">
        <f>(($A15+MIN((MIN(MAX(0,G$5-'Control Panel'!$C$38),'Control Panel'!$B$43)*'Control Panel'!$C$43+MIN(MAX(MAX(0,G$5-'Control Panel'!$C$38)-'Control Panel'!$B$43,0),'Control Panel'!$B$44-'Control Panel'!$B$43)*'Control Panel'!$C$44+MIN(MAX(MAX(0,G$5-'Control Panel'!$C$38)-'Control Panel'!$B$44,0),'Control Panel'!$B$45-'Control Panel'!$B$44)*'Control Panel'!$C$45+MAX(MAX(0,G$5-'Control Panel'!$C$38)-'Control Panel'!$B$45,0)*'Control Panel'!$C$46),$A15*'Control Panel'!$B$49))-('Control Panel'!$B$11+G$5*'Control Panel'!$B$10))/($A15+MIN((MIN(MAX(0,G$5-'Control Panel'!$C$38),'Control Panel'!$B$43)*'Control Panel'!$C$43+MIN(MAX(MAX(0,G$5-'Control Panel'!$C$38)-'Control Panel'!$B$43,0),'Control Panel'!$B$44-'Control Panel'!$B$43)*'Control Panel'!$C$44+MIN(MAX(MAX(0,G$5-'Control Panel'!$C$38)-'Control Panel'!$B$44,0),'Control Panel'!$B$45-'Control Panel'!$B$44)*'Control Panel'!$C$45+MAX(MAX(0,G$5-'Control Panel'!$C$38)-'Control Panel'!$B$45,0)*'Control Panel'!$C$46),$A15*'Control Panel'!$B$49))</f>
        <v/>
      </c>
      <c r="H15" s="26">
        <f>(($A15+MIN((MIN(MAX(0,H$5-'Control Panel'!$C$38),'Control Panel'!$B$43)*'Control Panel'!$C$43+MIN(MAX(MAX(0,H$5-'Control Panel'!$C$38)-'Control Panel'!$B$43,0),'Control Panel'!$B$44-'Control Panel'!$B$43)*'Control Panel'!$C$44+MIN(MAX(MAX(0,H$5-'Control Panel'!$C$38)-'Control Panel'!$B$44,0),'Control Panel'!$B$45-'Control Panel'!$B$44)*'Control Panel'!$C$45+MAX(MAX(0,H$5-'Control Panel'!$C$38)-'Control Panel'!$B$45,0)*'Control Panel'!$C$46),$A15*'Control Panel'!$B$49))-('Control Panel'!$B$11+H$5*'Control Panel'!$B$10))/($A15+MIN((MIN(MAX(0,H$5-'Control Panel'!$C$38),'Control Panel'!$B$43)*'Control Panel'!$C$43+MIN(MAX(MAX(0,H$5-'Control Panel'!$C$38)-'Control Panel'!$B$43,0),'Control Panel'!$B$44-'Control Panel'!$B$43)*'Control Panel'!$C$44+MIN(MAX(MAX(0,H$5-'Control Panel'!$C$38)-'Control Panel'!$B$44,0),'Control Panel'!$B$45-'Control Panel'!$B$44)*'Control Panel'!$C$45+MAX(MAX(0,H$5-'Control Panel'!$C$38)-'Control Panel'!$B$45,0)*'Control Panel'!$C$46),$A15*'Control Panel'!$B$49))</f>
        <v/>
      </c>
      <c r="I15" s="26">
        <f>(($A15+MIN((MIN(MAX(0,I$5-'Control Panel'!$C$38),'Control Panel'!$B$43)*'Control Panel'!$C$43+MIN(MAX(MAX(0,I$5-'Control Panel'!$C$38)-'Control Panel'!$B$43,0),'Control Panel'!$B$44-'Control Panel'!$B$43)*'Control Panel'!$C$44+MIN(MAX(MAX(0,I$5-'Control Panel'!$C$38)-'Control Panel'!$B$44,0),'Control Panel'!$B$45-'Control Panel'!$B$44)*'Control Panel'!$C$45+MAX(MAX(0,I$5-'Control Panel'!$C$38)-'Control Panel'!$B$45,0)*'Control Panel'!$C$46),$A15*'Control Panel'!$B$49))-('Control Panel'!$B$11+I$5*'Control Panel'!$B$10))/($A15+MIN((MIN(MAX(0,I$5-'Control Panel'!$C$38),'Control Panel'!$B$43)*'Control Panel'!$C$43+MIN(MAX(MAX(0,I$5-'Control Panel'!$C$38)-'Control Panel'!$B$43,0),'Control Panel'!$B$44-'Control Panel'!$B$43)*'Control Panel'!$C$44+MIN(MAX(MAX(0,I$5-'Control Panel'!$C$38)-'Control Panel'!$B$44,0),'Control Panel'!$B$45-'Control Panel'!$B$44)*'Control Panel'!$C$45+MAX(MAX(0,I$5-'Control Panel'!$C$38)-'Control Panel'!$B$45,0)*'Control Panel'!$C$46),$A15*'Control Panel'!$B$49))</f>
        <v/>
      </c>
      <c r="J15" s="26">
        <f>(($A15+MIN((MIN(MAX(0,J$5-'Control Panel'!$C$38),'Control Panel'!$B$43)*'Control Panel'!$C$43+MIN(MAX(MAX(0,J$5-'Control Panel'!$C$38)-'Control Panel'!$B$43,0),'Control Panel'!$B$44-'Control Panel'!$B$43)*'Control Panel'!$C$44+MIN(MAX(MAX(0,J$5-'Control Panel'!$C$38)-'Control Panel'!$B$44,0),'Control Panel'!$B$45-'Control Panel'!$B$44)*'Control Panel'!$C$45+MAX(MAX(0,J$5-'Control Panel'!$C$38)-'Control Panel'!$B$45,0)*'Control Panel'!$C$46),$A15*'Control Panel'!$B$49))-('Control Panel'!$B$11+J$5*'Control Panel'!$B$10))/($A15+MIN((MIN(MAX(0,J$5-'Control Panel'!$C$38),'Control Panel'!$B$43)*'Control Panel'!$C$43+MIN(MAX(MAX(0,J$5-'Control Panel'!$C$38)-'Control Panel'!$B$43,0),'Control Panel'!$B$44-'Control Panel'!$B$43)*'Control Panel'!$C$44+MIN(MAX(MAX(0,J$5-'Control Panel'!$C$38)-'Control Panel'!$B$44,0),'Control Panel'!$B$45-'Control Panel'!$B$44)*'Control Panel'!$C$45+MAX(MAX(0,J$5-'Control Panel'!$C$38)-'Control Panel'!$B$45,0)*'Control Panel'!$C$46),$A15*'Control Panel'!$B$49))</f>
        <v/>
      </c>
      <c r="K15" s="26">
        <f>(($A15+MIN((MIN(MAX(0,K$5-'Control Panel'!$C$38),'Control Panel'!$B$43)*'Control Panel'!$C$43+MIN(MAX(MAX(0,K$5-'Control Panel'!$C$38)-'Control Panel'!$B$43,0),'Control Panel'!$B$44-'Control Panel'!$B$43)*'Control Panel'!$C$44+MIN(MAX(MAX(0,K$5-'Control Panel'!$C$38)-'Control Panel'!$B$44,0),'Control Panel'!$B$45-'Control Panel'!$B$44)*'Control Panel'!$C$45+MAX(MAX(0,K$5-'Control Panel'!$C$38)-'Control Panel'!$B$45,0)*'Control Panel'!$C$46),$A15*'Control Panel'!$B$49))-('Control Panel'!$B$11+K$5*'Control Panel'!$B$10))/($A15+MIN((MIN(MAX(0,K$5-'Control Panel'!$C$38),'Control Panel'!$B$43)*'Control Panel'!$C$43+MIN(MAX(MAX(0,K$5-'Control Panel'!$C$38)-'Control Panel'!$B$43,0),'Control Panel'!$B$44-'Control Panel'!$B$43)*'Control Panel'!$C$44+MIN(MAX(MAX(0,K$5-'Control Panel'!$C$38)-'Control Panel'!$B$44,0),'Control Panel'!$B$45-'Control Panel'!$B$44)*'Control Panel'!$C$45+MAX(MAX(0,K$5-'Control Panel'!$C$38)-'Control Panel'!$B$45,0)*'Control Panel'!$C$46),$A15*'Control Panel'!$B$49))</f>
        <v/>
      </c>
    </row>
    <row r="16">
      <c r="A16" s="17" t="n">
        <v>749</v>
      </c>
      <c r="B16" s="26">
        <f>(($A16+MIN((MIN(MAX(0,B$5-'Control Panel'!$C$38),'Control Panel'!$B$43)*'Control Panel'!$C$43+MIN(MAX(MAX(0,B$5-'Control Panel'!$C$38)-'Control Panel'!$B$43,0),'Control Panel'!$B$44-'Control Panel'!$B$43)*'Control Panel'!$C$44+MIN(MAX(MAX(0,B$5-'Control Panel'!$C$38)-'Control Panel'!$B$44,0),'Control Panel'!$B$45-'Control Panel'!$B$44)*'Control Panel'!$C$45+MAX(MAX(0,B$5-'Control Panel'!$C$38)-'Control Panel'!$B$45,0)*'Control Panel'!$C$46),$A16*'Control Panel'!$B$49))-('Control Panel'!$B$11+B$5*'Control Panel'!$B$10))/($A16+MIN((MIN(MAX(0,B$5-'Control Panel'!$C$38),'Control Panel'!$B$43)*'Control Panel'!$C$43+MIN(MAX(MAX(0,B$5-'Control Panel'!$C$38)-'Control Panel'!$B$43,0),'Control Panel'!$B$44-'Control Panel'!$B$43)*'Control Panel'!$C$44+MIN(MAX(MAX(0,B$5-'Control Panel'!$C$38)-'Control Panel'!$B$44,0),'Control Panel'!$B$45-'Control Panel'!$B$44)*'Control Panel'!$C$45+MAX(MAX(0,B$5-'Control Panel'!$C$38)-'Control Panel'!$B$45,0)*'Control Panel'!$C$46),$A16*'Control Panel'!$B$49))</f>
        <v/>
      </c>
      <c r="C16" s="26">
        <f>(($A16+MIN((MIN(MAX(0,C$5-'Control Panel'!$C$38),'Control Panel'!$B$43)*'Control Panel'!$C$43+MIN(MAX(MAX(0,C$5-'Control Panel'!$C$38)-'Control Panel'!$B$43,0),'Control Panel'!$B$44-'Control Panel'!$B$43)*'Control Panel'!$C$44+MIN(MAX(MAX(0,C$5-'Control Panel'!$C$38)-'Control Panel'!$B$44,0),'Control Panel'!$B$45-'Control Panel'!$B$44)*'Control Panel'!$C$45+MAX(MAX(0,C$5-'Control Panel'!$C$38)-'Control Panel'!$B$45,0)*'Control Panel'!$C$46),$A16*'Control Panel'!$B$49))-('Control Panel'!$B$11+C$5*'Control Panel'!$B$10))/($A16+MIN((MIN(MAX(0,C$5-'Control Panel'!$C$38),'Control Panel'!$B$43)*'Control Panel'!$C$43+MIN(MAX(MAX(0,C$5-'Control Panel'!$C$38)-'Control Panel'!$B$43,0),'Control Panel'!$B$44-'Control Panel'!$B$43)*'Control Panel'!$C$44+MIN(MAX(MAX(0,C$5-'Control Panel'!$C$38)-'Control Panel'!$B$44,0),'Control Panel'!$B$45-'Control Panel'!$B$44)*'Control Panel'!$C$45+MAX(MAX(0,C$5-'Control Panel'!$C$38)-'Control Panel'!$B$45,0)*'Control Panel'!$C$46),$A16*'Control Panel'!$B$49))</f>
        <v/>
      </c>
      <c r="D16" s="26">
        <f>(($A16+MIN((MIN(MAX(0,D$5-'Control Panel'!$C$38),'Control Panel'!$B$43)*'Control Panel'!$C$43+MIN(MAX(MAX(0,D$5-'Control Panel'!$C$38)-'Control Panel'!$B$43,0),'Control Panel'!$B$44-'Control Panel'!$B$43)*'Control Panel'!$C$44+MIN(MAX(MAX(0,D$5-'Control Panel'!$C$38)-'Control Panel'!$B$44,0),'Control Panel'!$B$45-'Control Panel'!$B$44)*'Control Panel'!$C$45+MAX(MAX(0,D$5-'Control Panel'!$C$38)-'Control Panel'!$B$45,0)*'Control Panel'!$C$46),$A16*'Control Panel'!$B$49))-('Control Panel'!$B$11+D$5*'Control Panel'!$B$10))/($A16+MIN((MIN(MAX(0,D$5-'Control Panel'!$C$38),'Control Panel'!$B$43)*'Control Panel'!$C$43+MIN(MAX(MAX(0,D$5-'Control Panel'!$C$38)-'Control Panel'!$B$43,0),'Control Panel'!$B$44-'Control Panel'!$B$43)*'Control Panel'!$C$44+MIN(MAX(MAX(0,D$5-'Control Panel'!$C$38)-'Control Panel'!$B$44,0),'Control Panel'!$B$45-'Control Panel'!$B$44)*'Control Panel'!$C$45+MAX(MAX(0,D$5-'Control Panel'!$C$38)-'Control Panel'!$B$45,0)*'Control Panel'!$C$46),$A16*'Control Panel'!$B$49))</f>
        <v/>
      </c>
      <c r="E16" s="26">
        <f>(($A16+MIN((MIN(MAX(0,E$5-'Control Panel'!$C$38),'Control Panel'!$B$43)*'Control Panel'!$C$43+MIN(MAX(MAX(0,E$5-'Control Panel'!$C$38)-'Control Panel'!$B$43,0),'Control Panel'!$B$44-'Control Panel'!$B$43)*'Control Panel'!$C$44+MIN(MAX(MAX(0,E$5-'Control Panel'!$C$38)-'Control Panel'!$B$44,0),'Control Panel'!$B$45-'Control Panel'!$B$44)*'Control Panel'!$C$45+MAX(MAX(0,E$5-'Control Panel'!$C$38)-'Control Panel'!$B$45,0)*'Control Panel'!$C$46),$A16*'Control Panel'!$B$49))-('Control Panel'!$B$11+E$5*'Control Panel'!$B$10))/($A16+MIN((MIN(MAX(0,E$5-'Control Panel'!$C$38),'Control Panel'!$B$43)*'Control Panel'!$C$43+MIN(MAX(MAX(0,E$5-'Control Panel'!$C$38)-'Control Panel'!$B$43,0),'Control Panel'!$B$44-'Control Panel'!$B$43)*'Control Panel'!$C$44+MIN(MAX(MAX(0,E$5-'Control Panel'!$C$38)-'Control Panel'!$B$44,0),'Control Panel'!$B$45-'Control Panel'!$B$44)*'Control Panel'!$C$45+MAX(MAX(0,E$5-'Control Panel'!$C$38)-'Control Panel'!$B$45,0)*'Control Panel'!$C$46),$A16*'Control Panel'!$B$49))</f>
        <v/>
      </c>
      <c r="F16" s="26">
        <f>(($A16+MIN((MIN(MAX(0,F$5-'Control Panel'!$C$38),'Control Panel'!$B$43)*'Control Panel'!$C$43+MIN(MAX(MAX(0,F$5-'Control Panel'!$C$38)-'Control Panel'!$B$43,0),'Control Panel'!$B$44-'Control Panel'!$B$43)*'Control Panel'!$C$44+MIN(MAX(MAX(0,F$5-'Control Panel'!$C$38)-'Control Panel'!$B$44,0),'Control Panel'!$B$45-'Control Panel'!$B$44)*'Control Panel'!$C$45+MAX(MAX(0,F$5-'Control Panel'!$C$38)-'Control Panel'!$B$45,0)*'Control Panel'!$C$46),$A16*'Control Panel'!$B$49))-('Control Panel'!$B$11+F$5*'Control Panel'!$B$10))/($A16+MIN((MIN(MAX(0,F$5-'Control Panel'!$C$38),'Control Panel'!$B$43)*'Control Panel'!$C$43+MIN(MAX(MAX(0,F$5-'Control Panel'!$C$38)-'Control Panel'!$B$43,0),'Control Panel'!$B$44-'Control Panel'!$B$43)*'Control Panel'!$C$44+MIN(MAX(MAX(0,F$5-'Control Panel'!$C$38)-'Control Panel'!$B$44,0),'Control Panel'!$B$45-'Control Panel'!$B$44)*'Control Panel'!$C$45+MAX(MAX(0,F$5-'Control Panel'!$C$38)-'Control Panel'!$B$45,0)*'Control Panel'!$C$46),$A16*'Control Panel'!$B$49))</f>
        <v/>
      </c>
      <c r="G16" s="26">
        <f>(($A16+MIN((MIN(MAX(0,G$5-'Control Panel'!$C$38),'Control Panel'!$B$43)*'Control Panel'!$C$43+MIN(MAX(MAX(0,G$5-'Control Panel'!$C$38)-'Control Panel'!$B$43,0),'Control Panel'!$B$44-'Control Panel'!$B$43)*'Control Panel'!$C$44+MIN(MAX(MAX(0,G$5-'Control Panel'!$C$38)-'Control Panel'!$B$44,0),'Control Panel'!$B$45-'Control Panel'!$B$44)*'Control Panel'!$C$45+MAX(MAX(0,G$5-'Control Panel'!$C$38)-'Control Panel'!$B$45,0)*'Control Panel'!$C$46),$A16*'Control Panel'!$B$49))-('Control Panel'!$B$11+G$5*'Control Panel'!$B$10))/($A16+MIN((MIN(MAX(0,G$5-'Control Panel'!$C$38),'Control Panel'!$B$43)*'Control Panel'!$C$43+MIN(MAX(MAX(0,G$5-'Control Panel'!$C$38)-'Control Panel'!$B$43,0),'Control Panel'!$B$44-'Control Panel'!$B$43)*'Control Panel'!$C$44+MIN(MAX(MAX(0,G$5-'Control Panel'!$C$38)-'Control Panel'!$B$44,0),'Control Panel'!$B$45-'Control Panel'!$B$44)*'Control Panel'!$C$45+MAX(MAX(0,G$5-'Control Panel'!$C$38)-'Control Panel'!$B$45,0)*'Control Panel'!$C$46),$A16*'Control Panel'!$B$49))</f>
        <v/>
      </c>
      <c r="H16" s="26">
        <f>(($A16+MIN((MIN(MAX(0,H$5-'Control Panel'!$C$38),'Control Panel'!$B$43)*'Control Panel'!$C$43+MIN(MAX(MAX(0,H$5-'Control Panel'!$C$38)-'Control Panel'!$B$43,0),'Control Panel'!$B$44-'Control Panel'!$B$43)*'Control Panel'!$C$44+MIN(MAX(MAX(0,H$5-'Control Panel'!$C$38)-'Control Panel'!$B$44,0),'Control Panel'!$B$45-'Control Panel'!$B$44)*'Control Panel'!$C$45+MAX(MAX(0,H$5-'Control Panel'!$C$38)-'Control Panel'!$B$45,0)*'Control Panel'!$C$46),$A16*'Control Panel'!$B$49))-('Control Panel'!$B$11+H$5*'Control Panel'!$B$10))/($A16+MIN((MIN(MAX(0,H$5-'Control Panel'!$C$38),'Control Panel'!$B$43)*'Control Panel'!$C$43+MIN(MAX(MAX(0,H$5-'Control Panel'!$C$38)-'Control Panel'!$B$43,0),'Control Panel'!$B$44-'Control Panel'!$B$43)*'Control Panel'!$C$44+MIN(MAX(MAX(0,H$5-'Control Panel'!$C$38)-'Control Panel'!$B$44,0),'Control Panel'!$B$45-'Control Panel'!$B$44)*'Control Panel'!$C$45+MAX(MAX(0,H$5-'Control Panel'!$C$38)-'Control Panel'!$B$45,0)*'Control Panel'!$C$46),$A16*'Control Panel'!$B$49))</f>
        <v/>
      </c>
      <c r="I16" s="26">
        <f>(($A16+MIN((MIN(MAX(0,I$5-'Control Panel'!$C$38),'Control Panel'!$B$43)*'Control Panel'!$C$43+MIN(MAX(MAX(0,I$5-'Control Panel'!$C$38)-'Control Panel'!$B$43,0),'Control Panel'!$B$44-'Control Panel'!$B$43)*'Control Panel'!$C$44+MIN(MAX(MAX(0,I$5-'Control Panel'!$C$38)-'Control Panel'!$B$44,0),'Control Panel'!$B$45-'Control Panel'!$B$44)*'Control Panel'!$C$45+MAX(MAX(0,I$5-'Control Panel'!$C$38)-'Control Panel'!$B$45,0)*'Control Panel'!$C$46),$A16*'Control Panel'!$B$49))-('Control Panel'!$B$11+I$5*'Control Panel'!$B$10))/($A16+MIN((MIN(MAX(0,I$5-'Control Panel'!$C$38),'Control Panel'!$B$43)*'Control Panel'!$C$43+MIN(MAX(MAX(0,I$5-'Control Panel'!$C$38)-'Control Panel'!$B$43,0),'Control Panel'!$B$44-'Control Panel'!$B$43)*'Control Panel'!$C$44+MIN(MAX(MAX(0,I$5-'Control Panel'!$C$38)-'Control Panel'!$B$44,0),'Control Panel'!$B$45-'Control Panel'!$B$44)*'Control Panel'!$C$45+MAX(MAX(0,I$5-'Control Panel'!$C$38)-'Control Panel'!$B$45,0)*'Control Panel'!$C$46),$A16*'Control Panel'!$B$49))</f>
        <v/>
      </c>
      <c r="J16" s="26">
        <f>(($A16+MIN((MIN(MAX(0,J$5-'Control Panel'!$C$38),'Control Panel'!$B$43)*'Control Panel'!$C$43+MIN(MAX(MAX(0,J$5-'Control Panel'!$C$38)-'Control Panel'!$B$43,0),'Control Panel'!$B$44-'Control Panel'!$B$43)*'Control Panel'!$C$44+MIN(MAX(MAX(0,J$5-'Control Panel'!$C$38)-'Control Panel'!$B$44,0),'Control Panel'!$B$45-'Control Panel'!$B$44)*'Control Panel'!$C$45+MAX(MAX(0,J$5-'Control Panel'!$C$38)-'Control Panel'!$B$45,0)*'Control Panel'!$C$46),$A16*'Control Panel'!$B$49))-('Control Panel'!$B$11+J$5*'Control Panel'!$B$10))/($A16+MIN((MIN(MAX(0,J$5-'Control Panel'!$C$38),'Control Panel'!$B$43)*'Control Panel'!$C$43+MIN(MAX(MAX(0,J$5-'Control Panel'!$C$38)-'Control Panel'!$B$43,0),'Control Panel'!$B$44-'Control Panel'!$B$43)*'Control Panel'!$C$44+MIN(MAX(MAX(0,J$5-'Control Panel'!$C$38)-'Control Panel'!$B$44,0),'Control Panel'!$B$45-'Control Panel'!$B$44)*'Control Panel'!$C$45+MAX(MAX(0,J$5-'Control Panel'!$C$38)-'Control Panel'!$B$45,0)*'Control Panel'!$C$46),$A16*'Control Panel'!$B$49))</f>
        <v/>
      </c>
      <c r="K16" s="26">
        <f>(($A16+MIN((MIN(MAX(0,K$5-'Control Panel'!$C$38),'Control Panel'!$B$43)*'Control Panel'!$C$43+MIN(MAX(MAX(0,K$5-'Control Panel'!$C$38)-'Control Panel'!$B$43,0),'Control Panel'!$B$44-'Control Panel'!$B$43)*'Control Panel'!$C$44+MIN(MAX(MAX(0,K$5-'Control Panel'!$C$38)-'Control Panel'!$B$44,0),'Control Panel'!$B$45-'Control Panel'!$B$44)*'Control Panel'!$C$45+MAX(MAX(0,K$5-'Control Panel'!$C$38)-'Control Panel'!$B$45,0)*'Control Panel'!$C$46),$A16*'Control Panel'!$B$49))-('Control Panel'!$B$11+K$5*'Control Panel'!$B$10))/($A16+MIN((MIN(MAX(0,K$5-'Control Panel'!$C$38),'Control Panel'!$B$43)*'Control Panel'!$C$43+MIN(MAX(MAX(0,K$5-'Control Panel'!$C$38)-'Control Panel'!$B$43,0),'Control Panel'!$B$44-'Control Panel'!$B$43)*'Control Panel'!$C$44+MIN(MAX(MAX(0,K$5-'Control Panel'!$C$38)-'Control Panel'!$B$44,0),'Control Panel'!$B$45-'Control Panel'!$B$44)*'Control Panel'!$C$45+MAX(MAX(0,K$5-'Control Panel'!$C$38)-'Control Panel'!$B$45,0)*'Control Panel'!$C$46),$A16*'Control Panel'!$B$49))</f>
        <v/>
      </c>
    </row>
    <row r="17">
      <c r="A17" s="17" t="n">
        <v>799</v>
      </c>
      <c r="B17" s="26">
        <f>(($A17+MIN((MIN(MAX(0,B$5-'Control Panel'!$C$38),'Control Panel'!$B$43)*'Control Panel'!$C$43+MIN(MAX(MAX(0,B$5-'Control Panel'!$C$38)-'Control Panel'!$B$43,0),'Control Panel'!$B$44-'Control Panel'!$B$43)*'Control Panel'!$C$44+MIN(MAX(MAX(0,B$5-'Control Panel'!$C$38)-'Control Panel'!$B$44,0),'Control Panel'!$B$45-'Control Panel'!$B$44)*'Control Panel'!$C$45+MAX(MAX(0,B$5-'Control Panel'!$C$38)-'Control Panel'!$B$45,0)*'Control Panel'!$C$46),$A17*'Control Panel'!$B$49))-('Control Panel'!$B$11+B$5*'Control Panel'!$B$10))/($A17+MIN((MIN(MAX(0,B$5-'Control Panel'!$C$38),'Control Panel'!$B$43)*'Control Panel'!$C$43+MIN(MAX(MAX(0,B$5-'Control Panel'!$C$38)-'Control Panel'!$B$43,0),'Control Panel'!$B$44-'Control Panel'!$B$43)*'Control Panel'!$C$44+MIN(MAX(MAX(0,B$5-'Control Panel'!$C$38)-'Control Panel'!$B$44,0),'Control Panel'!$B$45-'Control Panel'!$B$44)*'Control Panel'!$C$45+MAX(MAX(0,B$5-'Control Panel'!$C$38)-'Control Panel'!$B$45,0)*'Control Panel'!$C$46),$A17*'Control Panel'!$B$49))</f>
        <v/>
      </c>
      <c r="C17" s="26">
        <f>(($A17+MIN((MIN(MAX(0,C$5-'Control Panel'!$C$38),'Control Panel'!$B$43)*'Control Panel'!$C$43+MIN(MAX(MAX(0,C$5-'Control Panel'!$C$38)-'Control Panel'!$B$43,0),'Control Panel'!$B$44-'Control Panel'!$B$43)*'Control Panel'!$C$44+MIN(MAX(MAX(0,C$5-'Control Panel'!$C$38)-'Control Panel'!$B$44,0),'Control Panel'!$B$45-'Control Panel'!$B$44)*'Control Panel'!$C$45+MAX(MAX(0,C$5-'Control Panel'!$C$38)-'Control Panel'!$B$45,0)*'Control Panel'!$C$46),$A17*'Control Panel'!$B$49))-('Control Panel'!$B$11+C$5*'Control Panel'!$B$10))/($A17+MIN((MIN(MAX(0,C$5-'Control Panel'!$C$38),'Control Panel'!$B$43)*'Control Panel'!$C$43+MIN(MAX(MAX(0,C$5-'Control Panel'!$C$38)-'Control Panel'!$B$43,0),'Control Panel'!$B$44-'Control Panel'!$B$43)*'Control Panel'!$C$44+MIN(MAX(MAX(0,C$5-'Control Panel'!$C$38)-'Control Panel'!$B$44,0),'Control Panel'!$B$45-'Control Panel'!$B$44)*'Control Panel'!$C$45+MAX(MAX(0,C$5-'Control Panel'!$C$38)-'Control Panel'!$B$45,0)*'Control Panel'!$C$46),$A17*'Control Panel'!$B$49))</f>
        <v/>
      </c>
      <c r="D17" s="26">
        <f>(($A17+MIN((MIN(MAX(0,D$5-'Control Panel'!$C$38),'Control Panel'!$B$43)*'Control Panel'!$C$43+MIN(MAX(MAX(0,D$5-'Control Panel'!$C$38)-'Control Panel'!$B$43,0),'Control Panel'!$B$44-'Control Panel'!$B$43)*'Control Panel'!$C$44+MIN(MAX(MAX(0,D$5-'Control Panel'!$C$38)-'Control Panel'!$B$44,0),'Control Panel'!$B$45-'Control Panel'!$B$44)*'Control Panel'!$C$45+MAX(MAX(0,D$5-'Control Panel'!$C$38)-'Control Panel'!$B$45,0)*'Control Panel'!$C$46),$A17*'Control Panel'!$B$49))-('Control Panel'!$B$11+D$5*'Control Panel'!$B$10))/($A17+MIN((MIN(MAX(0,D$5-'Control Panel'!$C$38),'Control Panel'!$B$43)*'Control Panel'!$C$43+MIN(MAX(MAX(0,D$5-'Control Panel'!$C$38)-'Control Panel'!$B$43,0),'Control Panel'!$B$44-'Control Panel'!$B$43)*'Control Panel'!$C$44+MIN(MAX(MAX(0,D$5-'Control Panel'!$C$38)-'Control Panel'!$B$44,0),'Control Panel'!$B$45-'Control Panel'!$B$44)*'Control Panel'!$C$45+MAX(MAX(0,D$5-'Control Panel'!$C$38)-'Control Panel'!$B$45,0)*'Control Panel'!$C$46),$A17*'Control Panel'!$B$49))</f>
        <v/>
      </c>
      <c r="E17" s="26">
        <f>(($A17+MIN((MIN(MAX(0,E$5-'Control Panel'!$C$38),'Control Panel'!$B$43)*'Control Panel'!$C$43+MIN(MAX(MAX(0,E$5-'Control Panel'!$C$38)-'Control Panel'!$B$43,0),'Control Panel'!$B$44-'Control Panel'!$B$43)*'Control Panel'!$C$44+MIN(MAX(MAX(0,E$5-'Control Panel'!$C$38)-'Control Panel'!$B$44,0),'Control Panel'!$B$45-'Control Panel'!$B$44)*'Control Panel'!$C$45+MAX(MAX(0,E$5-'Control Panel'!$C$38)-'Control Panel'!$B$45,0)*'Control Panel'!$C$46),$A17*'Control Panel'!$B$49))-('Control Panel'!$B$11+E$5*'Control Panel'!$B$10))/($A17+MIN((MIN(MAX(0,E$5-'Control Panel'!$C$38),'Control Panel'!$B$43)*'Control Panel'!$C$43+MIN(MAX(MAX(0,E$5-'Control Panel'!$C$38)-'Control Panel'!$B$43,0),'Control Panel'!$B$44-'Control Panel'!$B$43)*'Control Panel'!$C$44+MIN(MAX(MAX(0,E$5-'Control Panel'!$C$38)-'Control Panel'!$B$44,0),'Control Panel'!$B$45-'Control Panel'!$B$44)*'Control Panel'!$C$45+MAX(MAX(0,E$5-'Control Panel'!$C$38)-'Control Panel'!$B$45,0)*'Control Panel'!$C$46),$A17*'Control Panel'!$B$49))</f>
        <v/>
      </c>
      <c r="F17" s="26">
        <f>(($A17+MIN((MIN(MAX(0,F$5-'Control Panel'!$C$38),'Control Panel'!$B$43)*'Control Panel'!$C$43+MIN(MAX(MAX(0,F$5-'Control Panel'!$C$38)-'Control Panel'!$B$43,0),'Control Panel'!$B$44-'Control Panel'!$B$43)*'Control Panel'!$C$44+MIN(MAX(MAX(0,F$5-'Control Panel'!$C$38)-'Control Panel'!$B$44,0),'Control Panel'!$B$45-'Control Panel'!$B$44)*'Control Panel'!$C$45+MAX(MAX(0,F$5-'Control Panel'!$C$38)-'Control Panel'!$B$45,0)*'Control Panel'!$C$46),$A17*'Control Panel'!$B$49))-('Control Panel'!$B$11+F$5*'Control Panel'!$B$10))/($A17+MIN((MIN(MAX(0,F$5-'Control Panel'!$C$38),'Control Panel'!$B$43)*'Control Panel'!$C$43+MIN(MAX(MAX(0,F$5-'Control Panel'!$C$38)-'Control Panel'!$B$43,0),'Control Panel'!$B$44-'Control Panel'!$B$43)*'Control Panel'!$C$44+MIN(MAX(MAX(0,F$5-'Control Panel'!$C$38)-'Control Panel'!$B$44,0),'Control Panel'!$B$45-'Control Panel'!$B$44)*'Control Panel'!$C$45+MAX(MAX(0,F$5-'Control Panel'!$C$38)-'Control Panel'!$B$45,0)*'Control Panel'!$C$46),$A17*'Control Panel'!$B$49))</f>
        <v/>
      </c>
      <c r="G17" s="26">
        <f>(($A17+MIN((MIN(MAX(0,G$5-'Control Panel'!$C$38),'Control Panel'!$B$43)*'Control Panel'!$C$43+MIN(MAX(MAX(0,G$5-'Control Panel'!$C$38)-'Control Panel'!$B$43,0),'Control Panel'!$B$44-'Control Panel'!$B$43)*'Control Panel'!$C$44+MIN(MAX(MAX(0,G$5-'Control Panel'!$C$38)-'Control Panel'!$B$44,0),'Control Panel'!$B$45-'Control Panel'!$B$44)*'Control Panel'!$C$45+MAX(MAX(0,G$5-'Control Panel'!$C$38)-'Control Panel'!$B$45,0)*'Control Panel'!$C$46),$A17*'Control Panel'!$B$49))-('Control Panel'!$B$11+G$5*'Control Panel'!$B$10))/($A17+MIN((MIN(MAX(0,G$5-'Control Panel'!$C$38),'Control Panel'!$B$43)*'Control Panel'!$C$43+MIN(MAX(MAX(0,G$5-'Control Panel'!$C$38)-'Control Panel'!$B$43,0),'Control Panel'!$B$44-'Control Panel'!$B$43)*'Control Panel'!$C$44+MIN(MAX(MAX(0,G$5-'Control Panel'!$C$38)-'Control Panel'!$B$44,0),'Control Panel'!$B$45-'Control Panel'!$B$44)*'Control Panel'!$C$45+MAX(MAX(0,G$5-'Control Panel'!$C$38)-'Control Panel'!$B$45,0)*'Control Panel'!$C$46),$A17*'Control Panel'!$B$49))</f>
        <v/>
      </c>
      <c r="H17" s="26">
        <f>(($A17+MIN((MIN(MAX(0,H$5-'Control Panel'!$C$38),'Control Panel'!$B$43)*'Control Panel'!$C$43+MIN(MAX(MAX(0,H$5-'Control Panel'!$C$38)-'Control Panel'!$B$43,0),'Control Panel'!$B$44-'Control Panel'!$B$43)*'Control Panel'!$C$44+MIN(MAX(MAX(0,H$5-'Control Panel'!$C$38)-'Control Panel'!$B$44,0),'Control Panel'!$B$45-'Control Panel'!$B$44)*'Control Panel'!$C$45+MAX(MAX(0,H$5-'Control Panel'!$C$38)-'Control Panel'!$B$45,0)*'Control Panel'!$C$46),$A17*'Control Panel'!$B$49))-('Control Panel'!$B$11+H$5*'Control Panel'!$B$10))/($A17+MIN((MIN(MAX(0,H$5-'Control Panel'!$C$38),'Control Panel'!$B$43)*'Control Panel'!$C$43+MIN(MAX(MAX(0,H$5-'Control Panel'!$C$38)-'Control Panel'!$B$43,0),'Control Panel'!$B$44-'Control Panel'!$B$43)*'Control Panel'!$C$44+MIN(MAX(MAX(0,H$5-'Control Panel'!$C$38)-'Control Panel'!$B$44,0),'Control Panel'!$B$45-'Control Panel'!$B$44)*'Control Panel'!$C$45+MAX(MAX(0,H$5-'Control Panel'!$C$38)-'Control Panel'!$B$45,0)*'Control Panel'!$C$46),$A17*'Control Panel'!$B$49))</f>
        <v/>
      </c>
      <c r="I17" s="26">
        <f>(($A17+MIN((MIN(MAX(0,I$5-'Control Panel'!$C$38),'Control Panel'!$B$43)*'Control Panel'!$C$43+MIN(MAX(MAX(0,I$5-'Control Panel'!$C$38)-'Control Panel'!$B$43,0),'Control Panel'!$B$44-'Control Panel'!$B$43)*'Control Panel'!$C$44+MIN(MAX(MAX(0,I$5-'Control Panel'!$C$38)-'Control Panel'!$B$44,0),'Control Panel'!$B$45-'Control Panel'!$B$44)*'Control Panel'!$C$45+MAX(MAX(0,I$5-'Control Panel'!$C$38)-'Control Panel'!$B$45,0)*'Control Panel'!$C$46),$A17*'Control Panel'!$B$49))-('Control Panel'!$B$11+I$5*'Control Panel'!$B$10))/($A17+MIN((MIN(MAX(0,I$5-'Control Panel'!$C$38),'Control Panel'!$B$43)*'Control Panel'!$C$43+MIN(MAX(MAX(0,I$5-'Control Panel'!$C$38)-'Control Panel'!$B$43,0),'Control Panel'!$B$44-'Control Panel'!$B$43)*'Control Panel'!$C$44+MIN(MAX(MAX(0,I$5-'Control Panel'!$C$38)-'Control Panel'!$B$44,0),'Control Panel'!$B$45-'Control Panel'!$B$44)*'Control Panel'!$C$45+MAX(MAX(0,I$5-'Control Panel'!$C$38)-'Control Panel'!$B$45,0)*'Control Panel'!$C$46),$A17*'Control Panel'!$B$49))</f>
        <v/>
      </c>
      <c r="J17" s="26">
        <f>(($A17+MIN((MIN(MAX(0,J$5-'Control Panel'!$C$38),'Control Panel'!$B$43)*'Control Panel'!$C$43+MIN(MAX(MAX(0,J$5-'Control Panel'!$C$38)-'Control Panel'!$B$43,0),'Control Panel'!$B$44-'Control Panel'!$B$43)*'Control Panel'!$C$44+MIN(MAX(MAX(0,J$5-'Control Panel'!$C$38)-'Control Panel'!$B$44,0),'Control Panel'!$B$45-'Control Panel'!$B$44)*'Control Panel'!$C$45+MAX(MAX(0,J$5-'Control Panel'!$C$38)-'Control Panel'!$B$45,0)*'Control Panel'!$C$46),$A17*'Control Panel'!$B$49))-('Control Panel'!$B$11+J$5*'Control Panel'!$B$10))/($A17+MIN((MIN(MAX(0,J$5-'Control Panel'!$C$38),'Control Panel'!$B$43)*'Control Panel'!$C$43+MIN(MAX(MAX(0,J$5-'Control Panel'!$C$38)-'Control Panel'!$B$43,0),'Control Panel'!$B$44-'Control Panel'!$B$43)*'Control Panel'!$C$44+MIN(MAX(MAX(0,J$5-'Control Panel'!$C$38)-'Control Panel'!$B$44,0),'Control Panel'!$B$45-'Control Panel'!$B$44)*'Control Panel'!$C$45+MAX(MAX(0,J$5-'Control Panel'!$C$38)-'Control Panel'!$B$45,0)*'Control Panel'!$C$46),$A17*'Control Panel'!$B$49))</f>
        <v/>
      </c>
      <c r="K17" s="26">
        <f>(($A17+MIN((MIN(MAX(0,K$5-'Control Panel'!$C$38),'Control Panel'!$B$43)*'Control Panel'!$C$43+MIN(MAX(MAX(0,K$5-'Control Panel'!$C$38)-'Control Panel'!$B$43,0),'Control Panel'!$B$44-'Control Panel'!$B$43)*'Control Panel'!$C$44+MIN(MAX(MAX(0,K$5-'Control Panel'!$C$38)-'Control Panel'!$B$44,0),'Control Panel'!$B$45-'Control Panel'!$B$44)*'Control Panel'!$C$45+MAX(MAX(0,K$5-'Control Panel'!$C$38)-'Control Panel'!$B$45,0)*'Control Panel'!$C$46),$A17*'Control Panel'!$B$49))-('Control Panel'!$B$11+K$5*'Control Panel'!$B$10))/($A17+MIN((MIN(MAX(0,K$5-'Control Panel'!$C$38),'Control Panel'!$B$43)*'Control Panel'!$C$43+MIN(MAX(MAX(0,K$5-'Control Panel'!$C$38)-'Control Panel'!$B$43,0),'Control Panel'!$B$44-'Control Panel'!$B$43)*'Control Panel'!$C$44+MIN(MAX(MAX(0,K$5-'Control Panel'!$C$38)-'Control Panel'!$B$44,0),'Control Panel'!$B$45-'Control Panel'!$B$44)*'Control Panel'!$C$45+MAX(MAX(0,K$5-'Control Panel'!$C$38)-'Control Panel'!$B$45,0)*'Control Panel'!$C$46),$A17*'Control Panel'!$B$49))</f>
        <v/>
      </c>
    </row>
    <row r="18">
      <c r="A18" s="17" t="n">
        <v>849</v>
      </c>
      <c r="B18" s="26">
        <f>(($A18+MIN((MIN(MAX(0,B$5-'Control Panel'!$C$38),'Control Panel'!$B$43)*'Control Panel'!$C$43+MIN(MAX(MAX(0,B$5-'Control Panel'!$C$38)-'Control Panel'!$B$43,0),'Control Panel'!$B$44-'Control Panel'!$B$43)*'Control Panel'!$C$44+MIN(MAX(MAX(0,B$5-'Control Panel'!$C$38)-'Control Panel'!$B$44,0),'Control Panel'!$B$45-'Control Panel'!$B$44)*'Control Panel'!$C$45+MAX(MAX(0,B$5-'Control Panel'!$C$38)-'Control Panel'!$B$45,0)*'Control Panel'!$C$46),$A18*'Control Panel'!$B$49))-('Control Panel'!$B$11+B$5*'Control Panel'!$B$10))/($A18+MIN((MIN(MAX(0,B$5-'Control Panel'!$C$38),'Control Panel'!$B$43)*'Control Panel'!$C$43+MIN(MAX(MAX(0,B$5-'Control Panel'!$C$38)-'Control Panel'!$B$43,0),'Control Panel'!$B$44-'Control Panel'!$B$43)*'Control Panel'!$C$44+MIN(MAX(MAX(0,B$5-'Control Panel'!$C$38)-'Control Panel'!$B$44,0),'Control Panel'!$B$45-'Control Panel'!$B$44)*'Control Panel'!$C$45+MAX(MAX(0,B$5-'Control Panel'!$C$38)-'Control Panel'!$B$45,0)*'Control Panel'!$C$46),$A18*'Control Panel'!$B$49))</f>
        <v/>
      </c>
      <c r="C18" s="26">
        <f>(($A18+MIN((MIN(MAX(0,C$5-'Control Panel'!$C$38),'Control Panel'!$B$43)*'Control Panel'!$C$43+MIN(MAX(MAX(0,C$5-'Control Panel'!$C$38)-'Control Panel'!$B$43,0),'Control Panel'!$B$44-'Control Panel'!$B$43)*'Control Panel'!$C$44+MIN(MAX(MAX(0,C$5-'Control Panel'!$C$38)-'Control Panel'!$B$44,0),'Control Panel'!$B$45-'Control Panel'!$B$44)*'Control Panel'!$C$45+MAX(MAX(0,C$5-'Control Panel'!$C$38)-'Control Panel'!$B$45,0)*'Control Panel'!$C$46),$A18*'Control Panel'!$B$49))-('Control Panel'!$B$11+C$5*'Control Panel'!$B$10))/($A18+MIN((MIN(MAX(0,C$5-'Control Panel'!$C$38),'Control Panel'!$B$43)*'Control Panel'!$C$43+MIN(MAX(MAX(0,C$5-'Control Panel'!$C$38)-'Control Panel'!$B$43,0),'Control Panel'!$B$44-'Control Panel'!$B$43)*'Control Panel'!$C$44+MIN(MAX(MAX(0,C$5-'Control Panel'!$C$38)-'Control Panel'!$B$44,0),'Control Panel'!$B$45-'Control Panel'!$B$44)*'Control Panel'!$C$45+MAX(MAX(0,C$5-'Control Panel'!$C$38)-'Control Panel'!$B$45,0)*'Control Panel'!$C$46),$A18*'Control Panel'!$B$49))</f>
        <v/>
      </c>
      <c r="D18" s="26">
        <f>(($A18+MIN((MIN(MAX(0,D$5-'Control Panel'!$C$38),'Control Panel'!$B$43)*'Control Panel'!$C$43+MIN(MAX(MAX(0,D$5-'Control Panel'!$C$38)-'Control Panel'!$B$43,0),'Control Panel'!$B$44-'Control Panel'!$B$43)*'Control Panel'!$C$44+MIN(MAX(MAX(0,D$5-'Control Panel'!$C$38)-'Control Panel'!$B$44,0),'Control Panel'!$B$45-'Control Panel'!$B$44)*'Control Panel'!$C$45+MAX(MAX(0,D$5-'Control Panel'!$C$38)-'Control Panel'!$B$45,0)*'Control Panel'!$C$46),$A18*'Control Panel'!$B$49))-('Control Panel'!$B$11+D$5*'Control Panel'!$B$10))/($A18+MIN((MIN(MAX(0,D$5-'Control Panel'!$C$38),'Control Panel'!$B$43)*'Control Panel'!$C$43+MIN(MAX(MAX(0,D$5-'Control Panel'!$C$38)-'Control Panel'!$B$43,0),'Control Panel'!$B$44-'Control Panel'!$B$43)*'Control Panel'!$C$44+MIN(MAX(MAX(0,D$5-'Control Panel'!$C$38)-'Control Panel'!$B$44,0),'Control Panel'!$B$45-'Control Panel'!$B$44)*'Control Panel'!$C$45+MAX(MAX(0,D$5-'Control Panel'!$C$38)-'Control Panel'!$B$45,0)*'Control Panel'!$C$46),$A18*'Control Panel'!$B$49))</f>
        <v/>
      </c>
      <c r="E18" s="26">
        <f>(($A18+MIN((MIN(MAX(0,E$5-'Control Panel'!$C$38),'Control Panel'!$B$43)*'Control Panel'!$C$43+MIN(MAX(MAX(0,E$5-'Control Panel'!$C$38)-'Control Panel'!$B$43,0),'Control Panel'!$B$44-'Control Panel'!$B$43)*'Control Panel'!$C$44+MIN(MAX(MAX(0,E$5-'Control Panel'!$C$38)-'Control Panel'!$B$44,0),'Control Panel'!$B$45-'Control Panel'!$B$44)*'Control Panel'!$C$45+MAX(MAX(0,E$5-'Control Panel'!$C$38)-'Control Panel'!$B$45,0)*'Control Panel'!$C$46),$A18*'Control Panel'!$B$49))-('Control Panel'!$B$11+E$5*'Control Panel'!$B$10))/($A18+MIN((MIN(MAX(0,E$5-'Control Panel'!$C$38),'Control Panel'!$B$43)*'Control Panel'!$C$43+MIN(MAX(MAX(0,E$5-'Control Panel'!$C$38)-'Control Panel'!$B$43,0),'Control Panel'!$B$44-'Control Panel'!$B$43)*'Control Panel'!$C$44+MIN(MAX(MAX(0,E$5-'Control Panel'!$C$38)-'Control Panel'!$B$44,0),'Control Panel'!$B$45-'Control Panel'!$B$44)*'Control Panel'!$C$45+MAX(MAX(0,E$5-'Control Panel'!$C$38)-'Control Panel'!$B$45,0)*'Control Panel'!$C$46),$A18*'Control Panel'!$B$49))</f>
        <v/>
      </c>
      <c r="F18" s="26">
        <f>(($A18+MIN((MIN(MAX(0,F$5-'Control Panel'!$C$38),'Control Panel'!$B$43)*'Control Panel'!$C$43+MIN(MAX(MAX(0,F$5-'Control Panel'!$C$38)-'Control Panel'!$B$43,0),'Control Panel'!$B$44-'Control Panel'!$B$43)*'Control Panel'!$C$44+MIN(MAX(MAX(0,F$5-'Control Panel'!$C$38)-'Control Panel'!$B$44,0),'Control Panel'!$B$45-'Control Panel'!$B$44)*'Control Panel'!$C$45+MAX(MAX(0,F$5-'Control Panel'!$C$38)-'Control Panel'!$B$45,0)*'Control Panel'!$C$46),$A18*'Control Panel'!$B$49))-('Control Panel'!$B$11+F$5*'Control Panel'!$B$10))/($A18+MIN((MIN(MAX(0,F$5-'Control Panel'!$C$38),'Control Panel'!$B$43)*'Control Panel'!$C$43+MIN(MAX(MAX(0,F$5-'Control Panel'!$C$38)-'Control Panel'!$B$43,0),'Control Panel'!$B$44-'Control Panel'!$B$43)*'Control Panel'!$C$44+MIN(MAX(MAX(0,F$5-'Control Panel'!$C$38)-'Control Panel'!$B$44,0),'Control Panel'!$B$45-'Control Panel'!$B$44)*'Control Panel'!$C$45+MAX(MAX(0,F$5-'Control Panel'!$C$38)-'Control Panel'!$B$45,0)*'Control Panel'!$C$46),$A18*'Control Panel'!$B$49))</f>
        <v/>
      </c>
      <c r="G18" s="26">
        <f>(($A18+MIN((MIN(MAX(0,G$5-'Control Panel'!$C$38),'Control Panel'!$B$43)*'Control Panel'!$C$43+MIN(MAX(MAX(0,G$5-'Control Panel'!$C$38)-'Control Panel'!$B$43,0),'Control Panel'!$B$44-'Control Panel'!$B$43)*'Control Panel'!$C$44+MIN(MAX(MAX(0,G$5-'Control Panel'!$C$38)-'Control Panel'!$B$44,0),'Control Panel'!$B$45-'Control Panel'!$B$44)*'Control Panel'!$C$45+MAX(MAX(0,G$5-'Control Panel'!$C$38)-'Control Panel'!$B$45,0)*'Control Panel'!$C$46),$A18*'Control Panel'!$B$49))-('Control Panel'!$B$11+G$5*'Control Panel'!$B$10))/($A18+MIN((MIN(MAX(0,G$5-'Control Panel'!$C$38),'Control Panel'!$B$43)*'Control Panel'!$C$43+MIN(MAX(MAX(0,G$5-'Control Panel'!$C$38)-'Control Panel'!$B$43,0),'Control Panel'!$B$44-'Control Panel'!$B$43)*'Control Panel'!$C$44+MIN(MAX(MAX(0,G$5-'Control Panel'!$C$38)-'Control Panel'!$B$44,0),'Control Panel'!$B$45-'Control Panel'!$B$44)*'Control Panel'!$C$45+MAX(MAX(0,G$5-'Control Panel'!$C$38)-'Control Panel'!$B$45,0)*'Control Panel'!$C$46),$A18*'Control Panel'!$B$49))</f>
        <v/>
      </c>
      <c r="H18" s="26">
        <f>(($A18+MIN((MIN(MAX(0,H$5-'Control Panel'!$C$38),'Control Panel'!$B$43)*'Control Panel'!$C$43+MIN(MAX(MAX(0,H$5-'Control Panel'!$C$38)-'Control Panel'!$B$43,0),'Control Panel'!$B$44-'Control Panel'!$B$43)*'Control Panel'!$C$44+MIN(MAX(MAX(0,H$5-'Control Panel'!$C$38)-'Control Panel'!$B$44,0),'Control Panel'!$B$45-'Control Panel'!$B$44)*'Control Panel'!$C$45+MAX(MAX(0,H$5-'Control Panel'!$C$38)-'Control Panel'!$B$45,0)*'Control Panel'!$C$46),$A18*'Control Panel'!$B$49))-('Control Panel'!$B$11+H$5*'Control Panel'!$B$10))/($A18+MIN((MIN(MAX(0,H$5-'Control Panel'!$C$38),'Control Panel'!$B$43)*'Control Panel'!$C$43+MIN(MAX(MAX(0,H$5-'Control Panel'!$C$38)-'Control Panel'!$B$43,0),'Control Panel'!$B$44-'Control Panel'!$B$43)*'Control Panel'!$C$44+MIN(MAX(MAX(0,H$5-'Control Panel'!$C$38)-'Control Panel'!$B$44,0),'Control Panel'!$B$45-'Control Panel'!$B$44)*'Control Panel'!$C$45+MAX(MAX(0,H$5-'Control Panel'!$C$38)-'Control Panel'!$B$45,0)*'Control Panel'!$C$46),$A18*'Control Panel'!$B$49))</f>
        <v/>
      </c>
      <c r="I18" s="26">
        <f>(($A18+MIN((MIN(MAX(0,I$5-'Control Panel'!$C$38),'Control Panel'!$B$43)*'Control Panel'!$C$43+MIN(MAX(MAX(0,I$5-'Control Panel'!$C$38)-'Control Panel'!$B$43,0),'Control Panel'!$B$44-'Control Panel'!$B$43)*'Control Panel'!$C$44+MIN(MAX(MAX(0,I$5-'Control Panel'!$C$38)-'Control Panel'!$B$44,0),'Control Panel'!$B$45-'Control Panel'!$B$44)*'Control Panel'!$C$45+MAX(MAX(0,I$5-'Control Panel'!$C$38)-'Control Panel'!$B$45,0)*'Control Panel'!$C$46),$A18*'Control Panel'!$B$49))-('Control Panel'!$B$11+I$5*'Control Panel'!$B$10))/($A18+MIN((MIN(MAX(0,I$5-'Control Panel'!$C$38),'Control Panel'!$B$43)*'Control Panel'!$C$43+MIN(MAX(MAX(0,I$5-'Control Panel'!$C$38)-'Control Panel'!$B$43,0),'Control Panel'!$B$44-'Control Panel'!$B$43)*'Control Panel'!$C$44+MIN(MAX(MAX(0,I$5-'Control Panel'!$C$38)-'Control Panel'!$B$44,0),'Control Panel'!$B$45-'Control Panel'!$B$44)*'Control Panel'!$C$45+MAX(MAX(0,I$5-'Control Panel'!$C$38)-'Control Panel'!$B$45,0)*'Control Panel'!$C$46),$A18*'Control Panel'!$B$49))</f>
        <v/>
      </c>
      <c r="J18" s="26">
        <f>(($A18+MIN((MIN(MAX(0,J$5-'Control Panel'!$C$38),'Control Panel'!$B$43)*'Control Panel'!$C$43+MIN(MAX(MAX(0,J$5-'Control Panel'!$C$38)-'Control Panel'!$B$43,0),'Control Panel'!$B$44-'Control Panel'!$B$43)*'Control Panel'!$C$44+MIN(MAX(MAX(0,J$5-'Control Panel'!$C$38)-'Control Panel'!$B$44,0),'Control Panel'!$B$45-'Control Panel'!$B$44)*'Control Panel'!$C$45+MAX(MAX(0,J$5-'Control Panel'!$C$38)-'Control Panel'!$B$45,0)*'Control Panel'!$C$46),$A18*'Control Panel'!$B$49))-('Control Panel'!$B$11+J$5*'Control Panel'!$B$10))/($A18+MIN((MIN(MAX(0,J$5-'Control Panel'!$C$38),'Control Panel'!$B$43)*'Control Panel'!$C$43+MIN(MAX(MAX(0,J$5-'Control Panel'!$C$38)-'Control Panel'!$B$43,0),'Control Panel'!$B$44-'Control Panel'!$B$43)*'Control Panel'!$C$44+MIN(MAX(MAX(0,J$5-'Control Panel'!$C$38)-'Control Panel'!$B$44,0),'Control Panel'!$B$45-'Control Panel'!$B$44)*'Control Panel'!$C$45+MAX(MAX(0,J$5-'Control Panel'!$C$38)-'Control Panel'!$B$45,0)*'Control Panel'!$C$46),$A18*'Control Panel'!$B$49))</f>
        <v/>
      </c>
      <c r="K18" s="26">
        <f>(($A18+MIN((MIN(MAX(0,K$5-'Control Panel'!$C$38),'Control Panel'!$B$43)*'Control Panel'!$C$43+MIN(MAX(MAX(0,K$5-'Control Panel'!$C$38)-'Control Panel'!$B$43,0),'Control Panel'!$B$44-'Control Panel'!$B$43)*'Control Panel'!$C$44+MIN(MAX(MAX(0,K$5-'Control Panel'!$C$38)-'Control Panel'!$B$44,0),'Control Panel'!$B$45-'Control Panel'!$B$44)*'Control Panel'!$C$45+MAX(MAX(0,K$5-'Control Panel'!$C$38)-'Control Panel'!$B$45,0)*'Control Panel'!$C$46),$A18*'Control Panel'!$B$49))-('Control Panel'!$B$11+K$5*'Control Panel'!$B$10))/($A18+MIN((MIN(MAX(0,K$5-'Control Panel'!$C$38),'Control Panel'!$B$43)*'Control Panel'!$C$43+MIN(MAX(MAX(0,K$5-'Control Panel'!$C$38)-'Control Panel'!$B$43,0),'Control Panel'!$B$44-'Control Panel'!$B$43)*'Control Panel'!$C$44+MIN(MAX(MAX(0,K$5-'Control Panel'!$C$38)-'Control Panel'!$B$44,0),'Control Panel'!$B$45-'Control Panel'!$B$44)*'Control Panel'!$C$45+MAX(MAX(0,K$5-'Control Panel'!$C$38)-'Control Panel'!$B$45,0)*'Control Panel'!$C$46),$A18*'Control Panel'!$B$49))</f>
        <v/>
      </c>
    </row>
    <row r="20">
      <c r="A20" s="8" t="inlineStr">
        <is>
          <t>Read down a column to see the price headroom a given usage level supports. Read across a row to see how a fixed price erodes as an account uses more.</t>
        </is>
      </c>
    </row>
  </sheetData>
  <conditionalFormatting sqref="B6:K18">
    <cfRule type="colorScale" priority="1">
      <colorScale>
        <cfvo type="num" val="0.2"/>
        <cfvo type="num" val="0.55"/>
        <cfvo type="num" val="0.8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30" customWidth="1" min="3" max="3"/>
    <col width="30" customWidth="1" min="4" max="4"/>
  </cols>
  <sheetData>
    <row r="1">
      <c r="A1" s="1" t="inlineStr">
        <is>
          <t>Pricing Table  (Phase 6, customer-facing)</t>
        </is>
      </c>
    </row>
    <row r="2">
      <c r="A2" s="2" t="inlineStr">
        <is>
          <t>Prices pull from the Control Panel, so this table moves when you experiment.</t>
        </is>
      </c>
    </row>
    <row r="4">
      <c r="A4" s="31" t="inlineStr"/>
      <c r="B4" s="31" t="inlineStr">
        <is>
          <t>Front Desk</t>
        </is>
      </c>
      <c r="C4" s="31" t="inlineStr">
        <is>
          <t>Plan Fluent</t>
        </is>
      </c>
      <c r="D4" s="31" t="inlineStr">
        <is>
          <t>Downline</t>
        </is>
      </c>
    </row>
    <row r="5">
      <c r="A5" s="11" t="inlineStr">
        <is>
          <t>Role</t>
        </is>
      </c>
      <c r="B5" s="30" t="inlineStr">
        <is>
          <t>Decoy</t>
        </is>
      </c>
      <c r="C5" s="62" t="inlineStr">
        <is>
          <t>Hero</t>
        </is>
      </c>
      <c r="D5" s="30" t="inlineStr">
        <is>
          <t>Anchor</t>
        </is>
      </c>
    </row>
    <row r="6">
      <c r="A6" s="11" t="inlineStr"/>
      <c r="B6" s="30" t="inlineStr"/>
      <c r="C6" s="63" t="inlineStr">
        <is>
          <t>MOST POPULAR</t>
        </is>
      </c>
      <c r="D6" s="30" t="inlineStr"/>
    </row>
    <row r="7">
      <c r="A7" s="11" t="inlineStr">
        <is>
          <t>Built for</t>
        </is>
      </c>
      <c r="B7" s="30" t="inlineStr">
        <is>
          <t>Solo front-desk cover: always-on answering, without plan-specific answers.</t>
        </is>
      </c>
      <c r="C7" s="62" t="inlineStr">
        <is>
          <t>The independent agency that wants every plan benefit question answered, day or night, in its own name.</t>
        </is>
      </c>
      <c r="D7" s="30" t="inlineStr">
        <is>
          <t>FMOs and GA downlines standardising plan-grounded service across every agent they carry.</t>
        </is>
      </c>
    </row>
    <row r="8">
      <c r="A8" s="11" t="inlineStr">
        <is>
          <t>You are charged per</t>
        </is>
      </c>
      <c r="B8" s="30" t="inlineStr">
        <is>
          <t>Agency location, per month</t>
        </is>
      </c>
      <c r="C8" s="62" t="inlineStr">
        <is>
          <t>Agency location, per month</t>
        </is>
      </c>
      <c r="D8" s="30" t="inlineStr">
        <is>
          <t>Agency location, per month, scoped to downline size</t>
        </is>
      </c>
    </row>
    <row r="9">
      <c r="A9" s="15" t="inlineStr">
        <is>
          <t>Platform fee, monthly</t>
        </is>
      </c>
      <c r="B9" s="64">
        <f>'Control Panel'!B37</f>
        <v/>
      </c>
      <c r="C9" s="65">
        <f>'Control Panel'!B38</f>
        <v/>
      </c>
      <c r="D9" s="64" t="inlineStr">
        <is>
          <t>Contact sales</t>
        </is>
      </c>
    </row>
    <row r="10">
      <c r="A10" s="11" t="inlineStr">
        <is>
          <t>Platform fee, annual (per mo.)</t>
        </is>
      </c>
      <c r="B10" s="64">
        <f>'Control Panel'!B37*(1-'Control Panel'!$B$50)</f>
        <v/>
      </c>
      <c r="C10" s="65">
        <f>'Control Panel'!B38*(1-'Control Panel'!$B$50)</f>
        <v/>
      </c>
      <c r="D10" s="64" t="inlineStr">
        <is>
          <t>Custom</t>
        </is>
      </c>
    </row>
    <row r="11">
      <c r="A11" s="11" t="inlineStr">
        <is>
          <t>Conversations included</t>
        </is>
      </c>
      <c r="B11" s="53">
        <f>'Control Panel'!C37</f>
        <v/>
      </c>
      <c r="C11" s="66">
        <f>'Control Panel'!C38</f>
        <v/>
      </c>
      <c r="D11" s="53">
        <f>'Control Panel'!C39</f>
        <v/>
      </c>
    </row>
    <row r="12">
      <c r="A12" s="11" t="inlineStr">
        <is>
          <t>Extra conversations</t>
        </is>
      </c>
      <c r="B12" s="30" t="inlineStr">
        <is>
          <t>From $1.45 each, falling with volume</t>
        </is>
      </c>
      <c r="C12" s="62" t="inlineStr">
        <is>
          <t>From $1.45 each, falling with volume</t>
        </is>
      </c>
      <c r="D12" s="30" t="inlineStr">
        <is>
          <t>Volume rates, negotiated</t>
        </is>
      </c>
    </row>
    <row r="13">
      <c r="A13" s="11" t="inlineStr">
        <is>
          <t>Monthly overage cap</t>
        </is>
      </c>
      <c r="B13" s="64">
        <f>'Control Panel'!B37*'Control Panel'!$B$49</f>
        <v/>
      </c>
      <c r="C13" s="65">
        <f>'Control Panel'!B38*'Control Panel'!$B$49</f>
        <v/>
      </c>
      <c r="D13" s="64" t="inlineStr">
        <is>
          <t>Custom</t>
        </is>
      </c>
    </row>
    <row r="14">
      <c r="A14" s="11" t="inlineStr">
        <is>
          <t>Indicative starting point</t>
        </is>
      </c>
      <c r="B14" s="30" t="inlineStr"/>
      <c r="C14" s="62" t="inlineStr"/>
      <c r="D14" s="30">
        <f>"From $"&amp;'Control Panel'!B39&amp;"/mo"</f>
        <v/>
      </c>
    </row>
    <row r="15">
      <c r="A15" s="11" t="inlineStr">
        <is>
          <t>CTA</t>
        </is>
      </c>
      <c r="B15" s="30" t="inlineStr">
        <is>
          <t>Start your 72-hour sandbox</t>
        </is>
      </c>
      <c r="C15" s="62" t="inlineStr">
        <is>
          <t>Start your 72-hour sandbox</t>
        </is>
      </c>
      <c r="D15" s="30" t="inlineStr">
        <is>
          <t>Request a downline pilot</t>
        </is>
      </c>
    </row>
    <row r="17">
      <c r="A17" s="67" t="inlineStr">
        <is>
          <t>Feature comparison</t>
        </is>
      </c>
    </row>
    <row r="18">
      <c r="A18" s="68" t="inlineStr">
        <is>
          <t>Always-on answering</t>
        </is>
      </c>
      <c r="B18" s="69" t="inlineStr"/>
      <c r="C18" s="69" t="inlineStr"/>
      <c r="D18" s="69" t="inlineStr"/>
    </row>
    <row r="19">
      <c r="A19" s="30" t="inlineStr">
        <is>
          <t>24/7 call answering, day and night</t>
        </is>
      </c>
      <c r="B19" s="70" t="inlineStr">
        <is>
          <t>YES</t>
        </is>
      </c>
      <c r="C19" s="71" t="inlineStr">
        <is>
          <t>YES</t>
        </is>
      </c>
      <c r="D19" s="70" t="inlineStr">
        <is>
          <t>YES</t>
        </is>
      </c>
    </row>
    <row r="20">
      <c r="A20" s="30" t="inlineStr">
        <is>
          <t>Handles every call at once, even during AEP</t>
        </is>
      </c>
      <c r="B20" s="70" t="inlineStr">
        <is>
          <t>YES</t>
        </is>
      </c>
      <c r="C20" s="71" t="inlineStr">
        <is>
          <t>YES</t>
        </is>
      </c>
      <c r="D20" s="70" t="inlineStr">
        <is>
          <t>YES</t>
        </is>
      </c>
    </row>
    <row r="21">
      <c r="A21" s="30" t="inlineStr">
        <is>
          <t>Warm transfer to your licensed agents, with full context</t>
        </is>
      </c>
      <c r="B21" s="70" t="inlineStr">
        <is>
          <t>YES</t>
        </is>
      </c>
      <c r="C21" s="71" t="inlineStr">
        <is>
          <t>YES</t>
        </is>
      </c>
      <c r="D21" s="70" t="inlineStr">
        <is>
          <t>YES</t>
        </is>
      </c>
    </row>
    <row r="22">
      <c r="A22" s="30" t="inlineStr">
        <is>
          <t>After-hours lead capture</t>
        </is>
      </c>
      <c r="B22" s="70" t="inlineStr">
        <is>
          <t>YES</t>
        </is>
      </c>
      <c r="C22" s="71" t="inlineStr">
        <is>
          <t>YES</t>
        </is>
      </c>
      <c r="D22" s="70" t="inlineStr">
        <is>
          <t>YES</t>
        </is>
      </c>
    </row>
    <row r="23">
      <c r="A23" s="68" t="inlineStr">
        <is>
          <t>Getting the lead ready</t>
        </is>
      </c>
      <c r="B23" s="69" t="inlineStr"/>
      <c r="C23" s="69" t="inlineStr"/>
      <c r="D23" s="69" t="inlineStr"/>
    </row>
    <row r="24">
      <c r="A24" s="30" t="inlineStr">
        <is>
          <t>Lead qualification before handoff</t>
        </is>
      </c>
      <c r="B24" s="70" t="inlineStr">
        <is>
          <t>YES</t>
        </is>
      </c>
      <c r="C24" s="71" t="inlineStr">
        <is>
          <t>YES</t>
        </is>
      </c>
      <c r="D24" s="70" t="inlineStr">
        <is>
          <t>YES</t>
        </is>
      </c>
    </row>
    <row r="25">
      <c r="A25" s="30" t="inlineStr">
        <is>
          <t>Call transcripts and summaries</t>
        </is>
      </c>
      <c r="B25" s="70" t="inlineStr">
        <is>
          <t>YES</t>
        </is>
      </c>
      <c r="C25" s="71" t="inlineStr">
        <is>
          <t>YES</t>
        </is>
      </c>
      <c r="D25" s="70" t="inlineStr">
        <is>
          <t>YES</t>
        </is>
      </c>
    </row>
    <row r="26">
      <c r="A26" s="30" t="inlineStr">
        <is>
          <t>Structured lead records</t>
        </is>
      </c>
      <c r="B26" s="70" t="inlineStr">
        <is>
          <t>YES</t>
        </is>
      </c>
      <c r="C26" s="71" t="inlineStr">
        <is>
          <t>YES</t>
        </is>
      </c>
      <c r="D26" s="70" t="inlineStr">
        <is>
          <t>YES</t>
        </is>
      </c>
    </row>
    <row r="27">
      <c r="A27" s="30" t="inlineStr">
        <is>
          <t>CRM sync</t>
        </is>
      </c>
      <c r="B27" s="70" t="inlineStr">
        <is>
          <t>YES</t>
        </is>
      </c>
      <c r="C27" s="71" t="inlineStr">
        <is>
          <t>YES</t>
        </is>
      </c>
      <c r="D27" s="70" t="inlineStr">
        <is>
          <t>YES</t>
        </is>
      </c>
    </row>
    <row r="28">
      <c r="A28" s="68" t="inlineStr">
        <is>
          <t>Your brand, your voice</t>
        </is>
      </c>
      <c r="B28" s="69" t="inlineStr"/>
      <c r="C28" s="69" t="inlineStr"/>
      <c r="D28" s="69" t="inlineStr"/>
    </row>
    <row r="29">
      <c r="A29" s="30" t="inlineStr">
        <is>
          <t>Agency-branded voice</t>
        </is>
      </c>
      <c r="B29" s="70" t="inlineStr">
        <is>
          <t>YES</t>
        </is>
      </c>
      <c r="C29" s="71" t="inlineStr">
        <is>
          <t>YES</t>
        </is>
      </c>
      <c r="D29" s="70" t="inlineStr">
        <is>
          <t>YES</t>
        </is>
      </c>
    </row>
    <row r="30">
      <c r="A30" s="30" t="inlineStr">
        <is>
          <t>Agency-branded chat widget on your site</t>
        </is>
      </c>
      <c r="B30" s="70" t="inlineStr">
        <is>
          <t>YES</t>
        </is>
      </c>
      <c r="C30" s="71" t="inlineStr">
        <is>
          <t>YES</t>
        </is>
      </c>
      <c r="D30" s="70" t="inlineStr">
        <is>
          <t>YES</t>
        </is>
      </c>
    </row>
    <row r="31">
      <c r="A31" s="30" t="inlineStr">
        <is>
          <t>Custom knowledge base (hours, policies, FAQs)</t>
        </is>
      </c>
      <c r="B31" s="70" t="inlineStr">
        <is>
          <t>YES</t>
        </is>
      </c>
      <c r="C31" s="71" t="inlineStr">
        <is>
          <t>YES</t>
        </is>
      </c>
      <c r="D31" s="70" t="inlineStr">
        <is>
          <t>YES</t>
        </is>
      </c>
    </row>
    <row r="32">
      <c r="A32" s="30" t="inlineStr">
        <is>
          <t>Multilingual, including Spanish</t>
        </is>
      </c>
      <c r="B32" s="70" t="inlineStr">
        <is>
          <t>YES</t>
        </is>
      </c>
      <c r="C32" s="71" t="inlineStr">
        <is>
          <t>YES</t>
        </is>
      </c>
      <c r="D32" s="70" t="inlineStr">
        <is>
          <t>YES</t>
        </is>
      </c>
    </row>
    <row r="33">
      <c r="A33" s="68" t="inlineStr">
        <is>
          <t>Operations</t>
        </is>
      </c>
      <c r="B33" s="69" t="inlineStr"/>
      <c r="C33" s="69" t="inlineStr"/>
      <c r="D33" s="69" t="inlineStr"/>
    </row>
    <row r="34">
      <c r="A34" s="30" t="inlineStr">
        <is>
          <t>Call analytics dashboard</t>
        </is>
      </c>
      <c r="B34" s="70" t="inlineStr">
        <is>
          <t>YES</t>
        </is>
      </c>
      <c r="C34" s="71" t="inlineStr">
        <is>
          <t>YES</t>
        </is>
      </c>
      <c r="D34" s="70" t="inlineStr">
        <is>
          <t>YES</t>
        </is>
      </c>
    </row>
    <row r="35">
      <c r="A35" s="30" t="inlineStr">
        <is>
          <t>Appointment and callback scheduling [coming soon]</t>
        </is>
      </c>
      <c r="B35" s="72" t="inlineStr">
        <is>
          <t>soon</t>
        </is>
      </c>
      <c r="C35" s="73" t="inlineStr">
        <is>
          <t>soon</t>
        </is>
      </c>
      <c r="D35" s="72" t="inlineStr">
        <is>
          <t>soon</t>
        </is>
      </c>
    </row>
    <row r="36">
      <c r="A36" s="68" t="inlineStr">
        <is>
          <t>Plan intelligence</t>
        </is>
      </c>
      <c r="B36" s="69" t="inlineStr"/>
      <c r="C36" s="69" t="inlineStr"/>
      <c r="D36" s="69" t="inlineStr"/>
    </row>
    <row r="37">
      <c r="A37" s="30" t="inlineStr">
        <is>
          <t>Answers Medicare plan-specific questions</t>
        </is>
      </c>
      <c r="B37" s="11" t="inlineStr"/>
      <c r="C37" s="71" t="inlineStr">
        <is>
          <t>YES</t>
        </is>
      </c>
      <c r="D37" s="70" t="inlineStr">
        <is>
          <t>YES</t>
        </is>
      </c>
    </row>
    <row r="38">
      <c r="A38" s="30" t="inlineStr">
        <is>
          <t>Reads and understands your plan documents</t>
        </is>
      </c>
      <c r="B38" s="11" t="inlineStr"/>
      <c r="C38" s="71" t="inlineStr">
        <is>
          <t>YES</t>
        </is>
      </c>
      <c r="D38" s="70" t="inlineStr">
        <is>
          <t>YES</t>
        </is>
      </c>
    </row>
    <row r="39">
      <c r="A39" s="30" t="inlineStr">
        <is>
          <t>Dental, vision, hearing, transportation, OTC and flex answers</t>
        </is>
      </c>
      <c r="B39" s="11" t="inlineStr"/>
      <c r="C39" s="71" t="inlineStr">
        <is>
          <t>YES</t>
        </is>
      </c>
      <c r="D39" s="70" t="inlineStr">
        <is>
          <t>YES</t>
        </is>
      </c>
    </row>
    <row r="40">
      <c r="A40" s="30" t="inlineStr">
        <is>
          <t>Premium, copay and cost-sharing answers</t>
        </is>
      </c>
      <c r="B40" s="11" t="inlineStr"/>
      <c r="C40" s="71" t="inlineStr">
        <is>
          <t>YES</t>
        </is>
      </c>
      <c r="D40" s="70" t="inlineStr">
        <is>
          <t>YES</t>
        </is>
      </c>
    </row>
    <row r="41">
      <c r="A41" s="30" t="inlineStr">
        <is>
          <t>Compares benefits across the plans you sell</t>
        </is>
      </c>
      <c r="B41" s="11" t="inlineStr"/>
      <c r="C41" s="71" t="inlineStr">
        <is>
          <t>YES</t>
        </is>
      </c>
      <c r="D41" s="70" t="inlineStr">
        <is>
          <t>YES</t>
        </is>
      </c>
    </row>
    <row r="42">
      <c r="A42" s="30" t="inlineStr">
        <is>
          <t>Trained on your agency's specific book of plans</t>
        </is>
      </c>
      <c r="B42" s="11" t="inlineStr"/>
      <c r="C42" s="71" t="inlineStr">
        <is>
          <t>YES</t>
        </is>
      </c>
      <c r="D42" s="70" t="inlineStr">
        <is>
          <t>YES</t>
        </is>
      </c>
    </row>
    <row r="43">
      <c r="A43" s="68" t="inlineStr">
        <is>
          <t>Scale across locations</t>
        </is>
      </c>
      <c r="B43" s="69" t="inlineStr"/>
      <c r="C43" s="69" t="inlineStr"/>
      <c r="D43" s="69" t="inlineStr"/>
    </row>
    <row r="44">
      <c r="A44" s="30" t="inlineStr">
        <is>
          <t>Full website, chat and voice package</t>
        </is>
      </c>
      <c r="B44" s="11" t="inlineStr"/>
      <c r="C44" s="74" t="inlineStr"/>
      <c r="D44" s="70" t="inlineStr">
        <is>
          <t>YES</t>
        </is>
      </c>
    </row>
    <row r="45">
      <c r="A45" s="30" t="inlineStr">
        <is>
          <t>Centralised deployment across your downline [coming soon]</t>
        </is>
      </c>
      <c r="B45" s="11" t="inlineStr"/>
      <c r="C45" s="74" t="inlineStr"/>
      <c r="D45" s="72" t="inlineStr">
        <is>
          <t>soon</t>
        </is>
      </c>
    </row>
    <row r="47">
      <c r="A47" s="45" t="inlineStr">
        <is>
          <t>YES = included and shipped today.   soon = on the roadmap, not yet shipped.</t>
        </is>
      </c>
      <c r="B47" s="50" t="n"/>
      <c r="C47" s="50" t="n"/>
      <c r="D47" s="51" t="n"/>
    </row>
    <row r="48">
      <c r="A48" s="75" t="inlineStr">
        <is>
          <t>Downline deployment: per OPEN-FINDINGS OF-2, Coverage Voice already ships multi-agency sub-accounts. Do not market this row as unique. Sell plan grounding across the downline, not the multi-tenancy.</t>
        </is>
      </c>
      <c r="B48" s="50" t="n"/>
      <c r="C48" s="50" t="n"/>
      <c r="D48" s="51" t="n"/>
    </row>
    <row r="49">
      <c r="A49" s="45" t="inlineStr">
        <is>
          <t>A standalone website chatbot is excluded: it scores low demand and commodity density, and is already covered by the branded chat widget row.</t>
        </is>
      </c>
      <c r="B49" s="50" t="n"/>
      <c r="C49" s="50" t="n"/>
      <c r="D49" s="51" t="n"/>
    </row>
  </sheetData>
  <mergeCells count="3">
    <mergeCell ref="A47:D47"/>
    <mergeCell ref="A48:D48"/>
    <mergeCell ref="A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2026-08-24T14:39:24Z</dcterms:created>
  <dcterms:modified xsi:type="dcterms:W3CDTF">2026-08-24T14:46:52Z</dcterms:modified>
</cp:coreProperties>
</file>